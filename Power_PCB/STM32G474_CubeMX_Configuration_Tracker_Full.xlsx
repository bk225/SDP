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ject Handoff" sheetId="1" state="visible" r:id="rId1"/>
    <sheet xmlns:r="http://schemas.openxmlformats.org/officeDocument/2006/relationships" name="Overview" sheetId="2" state="visible" r:id="rId2"/>
    <sheet xmlns:r="http://schemas.openxmlformats.org/officeDocument/2006/relationships" name="Clock Configuration" sheetId="3" state="visible" r:id="rId3"/>
    <sheet xmlns:r="http://schemas.openxmlformats.org/officeDocument/2006/relationships" name="Pin Configuration" sheetId="4" state="visible" r:id="rId4"/>
    <sheet xmlns:r="http://schemas.openxmlformats.org/officeDocument/2006/relationships" name="Peripheral Plan" sheetId="5" state="visible" r:id="rId5"/>
    <sheet xmlns:r="http://schemas.openxmlformats.org/officeDocument/2006/relationships" name="Change Log" sheetId="6" state="visible" r:id="rId6"/>
    <sheet xmlns:r="http://schemas.openxmlformats.org/officeDocument/2006/relationships" name="Design Decisions" sheetId="7" state="visible" r:id="rId7"/>
    <sheet xmlns:r="http://schemas.openxmlformats.org/officeDocument/2006/relationships" name="Timer Configuration" sheetId="8" state="visible" r:id="rId8"/>
    <sheet xmlns:r="http://schemas.openxmlformats.org/officeDocument/2006/relationships" name="GPIO Configuration" sheetId="9" state="visible" r:id="rId9"/>
    <sheet xmlns:r="http://schemas.openxmlformats.org/officeDocument/2006/relationships" name="Servo Specification" sheetId="10" state="visible" r:id="rId10"/>
    <sheet xmlns:r="http://schemas.openxmlformats.org/officeDocument/2006/relationships" name="Project Settings" sheetId="11" state="visible" r:id="rId11"/>
    <sheet xmlns:r="http://schemas.openxmlformats.org/officeDocument/2006/relationships" name="Power &amp; Reset" sheetId="12" state="visible" r:id="rId12"/>
    <sheet xmlns:r="http://schemas.openxmlformats.org/officeDocument/2006/relationships" name="Schematic Review" sheetId="13" state="visible" r:id="rId13"/>
    <sheet xmlns:r="http://schemas.openxmlformats.org/officeDocument/2006/relationships" name="Power Budget" sheetId="14" state="visible" r:id="rId14"/>
    <sheet xmlns:r="http://schemas.openxmlformats.org/officeDocument/2006/relationships" name="Connector BOM" sheetId="15" state="visible" r:id="rId15"/>
    <sheet xmlns:r="http://schemas.openxmlformats.org/officeDocument/2006/relationships" name="PCB Rules" sheetId="16" state="visible" r:id="rId16"/>
  </sheets>
  <definedNames>
    <definedName name="_xlnm._FilterDatabase" localSheetId="0" hidden="1">'Project Handoff'!$A$4:$G$59</definedName>
    <definedName name="_xlnm._FilterDatabase" localSheetId="12" hidden="1">'Schematic Review'!$A$3:$F$23</definedName>
    <definedName name="_xlnm._FilterDatabase" localSheetId="14" hidden="1">'Connector BOM'!$A$3:$H$14</definedName>
    <definedName name="_xlnm.Print_Titles" localSheetId="15">'PCB Rules'!$1:$4</definedName>
  </definedNames>
</workbook>
</file>

<file path=xl/styles.xml><?xml version="1.0" encoding="utf-8"?>
<styleSheet xmlns="http://schemas.openxmlformats.org/spreadsheetml/2006/main">
  <numFmts count="1">
    <numFmt numFmtId="164" formatCode="0.0"/>
  </numFmts>
  <fonts count="27">
    <font>
      <name val="Carlito"/>
      <sz val="11"/>
    </font>
    <font>
      <name val="Carlito"/>
      <b val="1"/>
      <color rgb="FFFFFFFF"/>
      <sz val="14"/>
    </font>
    <font>
      <name val="Carlito"/>
      <b val="1"/>
      <color rgb="FFFFFFFF"/>
      <sz val="11"/>
    </font>
    <font>
      <name val="Carlito"/>
      <b val="1"/>
      <color rgb="FF17365D"/>
      <sz val="11"/>
    </font>
    <font>
      <name val="Carlito"/>
      <color rgb="FF375623"/>
      <sz val="11"/>
    </font>
    <font>
      <name val="Carlito"/>
      <color rgb="FF7F6000"/>
      <sz val="11"/>
    </font>
    <font>
      <name val="Carlito"/>
      <color rgb="FF404040"/>
      <sz val="11"/>
    </font>
    <font>
      <name val="Carlito"/>
      <b val="1"/>
      <color rgb="FFFFFFFF"/>
      <sz val="16"/>
    </font>
    <font>
      <name val="Carlito"/>
      <b val="1"/>
      <sz val="11"/>
    </font>
    <font>
      <name val="Carlito"/>
      <b val="1"/>
      <color rgb="FF1F1F1F"/>
      <sz val="11"/>
    </font>
    <font>
      <name val="Carlito"/>
      <i val="1"/>
      <sz val="11"/>
    </font>
    <font>
      <name val="Calibri"/>
      <b val="1"/>
      <color rgb="00FFFFFF"/>
      <sz val="16"/>
    </font>
    <font>
      <name val="Calibri"/>
      <b val="1"/>
      <color rgb="00FFFFFF"/>
      <sz val="10"/>
    </font>
    <font>
      <name val="Calibri"/>
      <b val="1"/>
      <color rgb="009C5700"/>
      <sz val="10"/>
    </font>
    <font>
      <b val="1"/>
      <color rgb="00FFFFFF"/>
      <sz val="16"/>
    </font>
    <font>
      <b val="1"/>
      <color rgb="00FFFFFF"/>
    </font>
    <font>
      <color rgb="000000FF"/>
    </font>
    <font>
      <b val="1"/>
      <color rgb="00FFFFFF"/>
      <sz val="14"/>
    </font>
    <font>
      <color rgb="00666666"/>
    </font>
    <font>
      <color rgb="00C55A11"/>
    </font>
    <font>
      <name val="Carlito"/>
      <b val="1"/>
      <color rgb="00FFFFFF"/>
      <sz val="14"/>
    </font>
    <font>
      <name val="Carlito"/>
      <color rgb="00666666"/>
      <sz val="11"/>
    </font>
    <font>
      <name val="Carlito"/>
      <color rgb="00008000"/>
      <sz val="10"/>
    </font>
    <font>
      <name val="Carlito"/>
      <b val="1"/>
      <color rgb="00FFFFFF"/>
      <sz val="11"/>
    </font>
    <font>
      <name val="Carlito"/>
      <b val="1"/>
      <color rgb="009C5700"/>
      <sz val="11"/>
    </font>
    <font>
      <name val="Carlito"/>
      <i val="1"/>
      <color rgb="00666666"/>
      <sz val="11"/>
    </font>
    <font>
      <name val="Carlito"/>
      <b val="1"/>
      <color rgb="00404040"/>
      <sz val="11"/>
    </font>
  </fonts>
  <fills count="37">
    <fill>
      <patternFill/>
    </fill>
    <fill>
      <patternFill patternType="gray125"/>
    </fill>
    <fill>
      <patternFill patternType="solid">
        <fgColor rgb="FF17365D"/>
      </patternFill>
    </fill>
    <fill>
      <patternFill patternType="solid">
        <fgColor rgb="FF2F75B5"/>
      </patternFill>
    </fill>
    <fill>
      <patternFill patternType="solid">
        <fgColor rgb="FFD9EAF7"/>
      </patternFill>
    </fill>
    <fill>
      <patternFill patternType="solid">
        <fgColor rgb="FFE2F0D9"/>
      </patternFill>
    </fill>
    <fill>
      <patternFill patternType="solid">
        <fgColor rgb="FFFFF2CC"/>
      </patternFill>
    </fill>
    <fill>
      <patternFill patternType="solid">
        <fgColor rgb="FFEDEDED"/>
      </patternFill>
    </fill>
    <fill>
      <patternFill patternType="solid">
        <fgColor rgb="FF1F4E78"/>
      </patternFill>
    </fill>
    <fill>
      <patternFill patternType="solid">
        <fgColor rgb="FF5B9BD5"/>
      </patternFill>
    </fill>
    <fill>
      <patternFill patternType="solid">
        <fgColor rgb="FF17365D"/>
      </patternFill>
    </fill>
    <fill>
      <patternFill patternType="solid">
        <fgColor rgb="FF1F4E78"/>
      </patternFill>
    </fill>
    <fill>
      <patternFill patternType="solid">
        <fgColor rgb="FF17365D"/>
      </patternFill>
    </fill>
    <fill>
      <patternFill patternType="solid">
        <fgColor rgb="FF1F4E78"/>
      </patternFill>
    </fill>
    <fill>
      <patternFill patternType="solid">
        <fgColor rgb="FF2F75B5"/>
      </patternFill>
    </fill>
    <fill>
      <patternFill patternType="solid">
        <fgColor rgb="FFD9EAF7"/>
      </patternFill>
    </fill>
    <fill>
      <patternFill patternType="solid">
        <fgColor rgb="FFE2F0D9"/>
      </patternFill>
    </fill>
    <fill>
      <patternFill patternType="solid">
        <fgColor rgb="FF0F243E"/>
      </patternFill>
    </fill>
    <fill>
      <patternFill patternType="solid">
        <fgColor rgb="FF17365D"/>
      </patternFill>
    </fill>
    <fill>
      <patternFill patternType="solid">
        <fgColor rgb="FF1F4E78"/>
      </patternFill>
    </fill>
    <fill>
      <patternFill patternType="solid">
        <fgColor rgb="FF5B9BD5"/>
      </patternFill>
    </fill>
    <fill>
      <patternFill patternType="solid">
        <fgColor rgb="FFD9EAF7"/>
      </patternFill>
    </fill>
    <fill>
      <patternFill patternType="solid">
        <fgColor rgb="FFFFF2CC"/>
      </patternFill>
    </fill>
    <fill>
      <patternFill patternType="solid">
        <fgColor rgb="FF17365D"/>
      </patternFill>
    </fill>
    <fill>
      <patternFill patternType="solid">
        <fgColor rgb="FFD9EAF7"/>
      </patternFill>
    </fill>
    <fill>
      <patternFill patternType="solid">
        <fgColor rgb="FF17365D"/>
      </patternFill>
    </fill>
    <fill>
      <patternFill patternType="solid">
        <fgColor rgb="FF2F75B5"/>
      </patternFill>
    </fill>
    <fill>
      <patternFill patternType="solid">
        <fgColor rgb="0017365D"/>
      </patternFill>
    </fill>
    <fill>
      <patternFill patternType="solid">
        <fgColor rgb="001F4E78"/>
      </patternFill>
    </fill>
    <fill>
      <patternFill patternType="solid">
        <fgColor rgb="00FCE8E6"/>
      </patternFill>
    </fill>
    <fill>
      <patternFill patternType="solid">
        <fgColor rgb="00E2F0D9"/>
      </patternFill>
    </fill>
    <fill>
      <patternFill patternType="solid">
        <fgColor rgb="00FFF2CC"/>
      </patternFill>
    </fill>
    <fill>
      <patternFill patternType="solid">
        <fgColor rgb="005B9BD5"/>
      </patternFill>
    </fill>
    <fill>
      <patternFill patternType="solid">
        <fgColor rgb="007030A0"/>
      </patternFill>
    </fill>
    <fill>
      <patternFill patternType="solid">
        <fgColor rgb="00F7F9FC"/>
      </patternFill>
    </fill>
    <fill>
      <patternFill patternType="solid">
        <fgColor rgb="00FCE4D6"/>
      </patternFill>
    </fill>
    <fill>
      <patternFill patternType="solid">
        <fgColor rgb="00D9EAF7"/>
      </patternFill>
    </fill>
  </fills>
  <borders count="19">
    <border/>
    <border/>
    <border/>
    <border/>
    <border/>
    <border/>
    <border/>
    <border/>
    <border/>
    <border/>
    <border/>
    <border/>
    <border/>
    <border/>
    <border/>
    <border/>
    <border/>
    <border/>
    <border>
      <bottom style="thin">
        <color rgb="00D9E1F2"/>
      </bottom>
    </border>
  </borders>
  <cellStyleXfs count="1">
    <xf numFmtId="0" fontId="0" fillId="0" borderId="17"/>
  </cellStyleXfs>
  <cellXfs count="280">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horizontal="center" wrapText="1"/>
    </xf>
    <xf numFmtId="0" fontId="2" fillId="3" borderId="0" applyAlignment="1" pivotButton="0" quotePrefix="0" xfId="0">
      <alignment horizontal="center"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horizontal="center" wrapText="1"/>
    </xf>
    <xf numFmtId="0" fontId="2" fillId="3" borderId="1" applyAlignment="1" pivotButton="0" quotePrefix="0" xfId="0">
      <alignment horizontal="center" vertical="center" wrapText="1"/>
    </xf>
    <xf numFmtId="0" fontId="0" fillId="4" borderId="0" pivotButton="0" quotePrefix="0" xfId="0"/>
    <xf numFmtId="0" fontId="3" fillId="4" borderId="0" pivotButton="0" quotePrefix="0" xfId="0"/>
    <xf numFmtId="0" fontId="3" fillId="4" borderId="0" applyAlignment="1" pivotButton="0" quotePrefix="0" xfId="0">
      <alignment vertical="center"/>
    </xf>
    <xf numFmtId="0" fontId="0" fillId="4" borderId="1" pivotButton="0" quotePrefix="0" xfId="0"/>
    <xf numFmtId="0" fontId="3" fillId="4" borderId="1" pivotButton="0" quotePrefix="0" xfId="0"/>
    <xf numFmtId="0" fontId="3" fillId="4" borderId="1" applyAlignment="1" pivotButton="0" quotePrefix="0" xfId="0">
      <alignment vertical="center"/>
    </xf>
    <xf numFmtId="0" fontId="0" fillId="5" borderId="0" pivotButton="0" quotePrefix="0" xfId="0"/>
    <xf numFmtId="0" fontId="4" fillId="5" borderId="0" pivotButton="0" quotePrefix="0" xfId="0"/>
    <xf numFmtId="0" fontId="0" fillId="5" borderId="1" pivotButton="0" quotePrefix="0" xfId="0"/>
    <xf numFmtId="0" fontId="4" fillId="5" borderId="1" pivotButton="0" quotePrefix="0" xfId="0"/>
    <xf numFmtId="0" fontId="0" fillId="6" borderId="0" pivotButton="0" quotePrefix="0" xfId="0"/>
    <xf numFmtId="0" fontId="5" fillId="6" borderId="0" pivotButton="0" quotePrefix="0" xfId="0"/>
    <xf numFmtId="0" fontId="0" fillId="6" borderId="1" pivotButton="0" quotePrefix="0" xfId="0"/>
    <xf numFmtId="0" fontId="5" fillId="6" borderId="1" pivotButton="0" quotePrefix="0" xfId="0"/>
    <xf numFmtId="0" fontId="0" fillId="7" borderId="0" pivotButton="0" quotePrefix="0" xfId="0"/>
    <xf numFmtId="0" fontId="6" fillId="7" borderId="0" pivotButton="0" quotePrefix="0" xfId="0"/>
    <xf numFmtId="0" fontId="0" fillId="7" borderId="1" pivotButton="0" quotePrefix="0" xfId="0"/>
    <xf numFmtId="0" fontId="6" fillId="7" borderId="1" pivotButton="0" quotePrefix="0" xfId="0"/>
    <xf numFmtId="0" fontId="1" fillId="2" borderId="0" applyAlignment="1" pivotButton="0" quotePrefix="0" xfId="0">
      <alignment horizontal="center" vertical="center" wrapText="1"/>
    </xf>
    <xf numFmtId="0" fontId="0" fillId="0" borderId="0" applyAlignment="1" pivotButton="0" quotePrefix="0" xfId="0">
      <alignment wrapText="1"/>
    </xf>
    <xf numFmtId="0" fontId="3" fillId="4" borderId="0" applyAlignment="1" pivotButton="0" quotePrefix="0" xfId="0">
      <alignment vertical="center" wrapText="1"/>
    </xf>
    <xf numFmtId="0" fontId="4" fillId="5" borderId="0" applyAlignment="1" pivotButton="0" quotePrefix="0" xfId="0">
      <alignment wrapText="1"/>
    </xf>
    <xf numFmtId="0" fontId="5" fillId="6" borderId="0" applyAlignment="1" pivotButton="0" quotePrefix="0" xfId="0">
      <alignment wrapText="1"/>
    </xf>
    <xf numFmtId="0" fontId="6" fillId="7" borderId="0" applyAlignment="1" pivotButton="0" quotePrefix="0" xfId="0">
      <alignment wrapText="1"/>
    </xf>
    <xf numFmtId="0" fontId="1" fillId="2" borderId="1" applyAlignment="1" pivotButton="0" quotePrefix="0" xfId="0">
      <alignment horizontal="center" vertical="center" wrapText="1"/>
    </xf>
    <xf numFmtId="0" fontId="0" fillId="0" borderId="1" applyAlignment="1" pivotButton="0" quotePrefix="0" xfId="0">
      <alignment wrapText="1"/>
    </xf>
    <xf numFmtId="0" fontId="3" fillId="4" borderId="1" applyAlignment="1" pivotButton="0" quotePrefix="0" xfId="0">
      <alignment vertical="center" wrapText="1"/>
    </xf>
    <xf numFmtId="0" fontId="4" fillId="5" borderId="1" applyAlignment="1" pivotButton="0" quotePrefix="0" xfId="0">
      <alignment wrapText="1"/>
    </xf>
    <xf numFmtId="0" fontId="5" fillId="6" borderId="1" applyAlignment="1" pivotButton="0" quotePrefix="0" xfId="0">
      <alignment wrapText="1"/>
    </xf>
    <xf numFmtId="0" fontId="6" fillId="7" borderId="1" applyAlignment="1" pivotButton="0" quotePrefix="0" xfId="0">
      <alignment wrapText="1"/>
    </xf>
    <xf numFmtId="0" fontId="0" fillId="0" borderId="0" applyAlignment="1" pivotButton="0" quotePrefix="0" xfId="0">
      <alignment vertical="center" wrapText="1"/>
    </xf>
    <xf numFmtId="0" fontId="4" fillId="5" borderId="0" applyAlignment="1" pivotButton="0" quotePrefix="0" xfId="0">
      <alignment vertical="center" wrapText="1"/>
    </xf>
    <xf numFmtId="0" fontId="5" fillId="6" borderId="0" applyAlignment="1" pivotButton="0" quotePrefix="0" xfId="0">
      <alignment vertical="center" wrapText="1"/>
    </xf>
    <xf numFmtId="0" fontId="6" fillId="7" borderId="0" applyAlignment="1" pivotButton="0" quotePrefix="0" xfId="0">
      <alignment vertical="center" wrapText="1"/>
    </xf>
    <xf numFmtId="0" fontId="0" fillId="0" borderId="1" applyAlignment="1" pivotButton="0" quotePrefix="0" xfId="0">
      <alignment vertical="center" wrapText="1"/>
    </xf>
    <xf numFmtId="0" fontId="4" fillId="5" borderId="1" applyAlignment="1" pivotButton="0" quotePrefix="0" xfId="0">
      <alignment vertical="center" wrapText="1"/>
    </xf>
    <xf numFmtId="0" fontId="5" fillId="6" borderId="1" applyAlignment="1" pivotButton="0" quotePrefix="0" xfId="0">
      <alignment vertical="center" wrapText="1"/>
    </xf>
    <xf numFmtId="0" fontId="6" fillId="7" borderId="1" applyAlignment="1" pivotButton="0" quotePrefix="0" xfId="0">
      <alignment vertical="center" wrapText="1"/>
    </xf>
    <xf numFmtId="0" fontId="0" fillId="0" borderId="0" pivotButton="0" quotePrefix="0" xfId="0"/>
    <xf numFmtId="0" fontId="2" fillId="8" borderId="0" applyAlignment="1" pivotButton="0" quotePrefix="0" xfId="0">
      <alignment horizontal="center" vertical="center" wrapText="1"/>
    </xf>
    <xf numFmtId="0" fontId="0" fillId="8" borderId="0" applyAlignment="1" pivotButton="0" quotePrefix="0" xfId="0">
      <alignment vertical="center" wrapText="1"/>
    </xf>
    <xf numFmtId="0" fontId="2" fillId="8" borderId="0" applyAlignment="1" pivotButton="0" quotePrefix="0" xfId="0">
      <alignment vertical="center" wrapText="1"/>
    </xf>
    <xf numFmtId="0" fontId="0" fillId="9" borderId="0" applyAlignment="1" pivotButton="0" quotePrefix="0" xfId="0">
      <alignment vertical="center" wrapText="1"/>
    </xf>
    <xf numFmtId="0" fontId="2" fillId="9" borderId="0" applyAlignment="1" pivotButton="0" quotePrefix="0" xfId="0">
      <alignment vertical="center" wrapText="1"/>
    </xf>
    <xf numFmtId="0" fontId="2" fillId="9" borderId="0" applyAlignment="1" pivotButton="0" quotePrefix="0" xfId="0">
      <alignment horizontal="center" vertical="center" wrapText="1"/>
    </xf>
    <xf numFmtId="0" fontId="0" fillId="10" borderId="0" pivotButton="0" quotePrefix="0" xfId="0"/>
    <xf numFmtId="0" fontId="7" fillId="10" borderId="0" pivotButton="0" quotePrefix="0" xfId="0"/>
    <xf numFmtId="0" fontId="7" fillId="10" borderId="0" applyAlignment="1" pivotButton="0" quotePrefix="0" xfId="0">
      <alignment horizontal="center"/>
    </xf>
    <xf numFmtId="0" fontId="7" fillId="10" borderId="0" applyAlignment="1" pivotButton="0" quotePrefix="0" xfId="0">
      <alignment horizontal="center" vertical="center"/>
    </xf>
    <xf numFmtId="0" fontId="0" fillId="11" borderId="0" pivotButton="0" quotePrefix="0" xfId="0"/>
    <xf numFmtId="0" fontId="2" fillId="11" borderId="0" pivotButton="0" quotePrefix="0" xfId="0"/>
    <xf numFmtId="0" fontId="2" fillId="11" borderId="0" applyAlignment="1" pivotButton="0" quotePrefix="0" xfId="0">
      <alignment wrapText="1"/>
    </xf>
    <xf numFmtId="0" fontId="2" fillId="11" borderId="0" applyAlignment="1" pivotButton="0" quotePrefix="0" xfId="0">
      <alignment horizontal="center" wrapText="1"/>
    </xf>
    <xf numFmtId="0" fontId="2" fillId="11" borderId="0" applyAlignment="1" pivotButton="0" quotePrefix="0" xfId="0">
      <alignment horizontal="center" vertical="center" wrapText="1"/>
    </xf>
    <xf numFmtId="0" fontId="2" fillId="11" borderId="0" applyAlignment="1" pivotButton="0" quotePrefix="0" xfId="0">
      <alignment horizontal="center" vertical="center" wrapText="1"/>
    </xf>
    <xf numFmtId="0" fontId="0" fillId="0" borderId="0" applyAlignment="1" pivotButton="0" quotePrefix="0" xfId="0">
      <alignment wrapText="1"/>
    </xf>
    <xf numFmtId="0" fontId="7" fillId="2" borderId="0" pivotButton="0" quotePrefix="0" xfId="0"/>
    <xf numFmtId="0" fontId="7" fillId="2" borderId="0" applyAlignment="1" pivotButton="0" quotePrefix="0" xfId="0">
      <alignment horizontal="center"/>
    </xf>
    <xf numFmtId="0" fontId="7" fillId="2" borderId="0" applyAlignment="1" pivotButton="0" quotePrefix="0" xfId="0">
      <alignment horizontal="center" vertical="center"/>
    </xf>
    <xf numFmtId="0" fontId="0" fillId="8" borderId="0" pivotButton="0" quotePrefix="0" xfId="0"/>
    <xf numFmtId="0" fontId="2" fillId="8" borderId="0" pivotButton="0" quotePrefix="0" xfId="0"/>
    <xf numFmtId="0" fontId="2" fillId="8" borderId="0" applyAlignment="1" pivotButton="0" quotePrefix="0" xfId="0">
      <alignment wrapText="1"/>
    </xf>
    <xf numFmtId="0" fontId="2" fillId="8" borderId="0" applyAlignment="1" pivotButton="0" quotePrefix="0" xfId="0">
      <alignment horizontal="center" wrapText="1"/>
    </xf>
    <xf numFmtId="0" fontId="2" fillId="8" borderId="0" applyAlignment="1" pivotButton="0" quotePrefix="0" xfId="0">
      <alignment horizontal="center" vertical="center" wrapText="1"/>
    </xf>
    <xf numFmtId="0" fontId="0" fillId="12" borderId="0" pivotButton="0" quotePrefix="0" xfId="0"/>
    <xf numFmtId="0" fontId="1" fillId="12" borderId="0" pivotButton="0" quotePrefix="0" xfId="0"/>
    <xf numFmtId="0" fontId="1" fillId="12" borderId="0" applyAlignment="1" pivotButton="0" quotePrefix="0" xfId="0">
      <alignment horizontal="center"/>
    </xf>
    <xf numFmtId="0" fontId="1" fillId="12" borderId="0" applyAlignment="1" pivotButton="0" quotePrefix="0" xfId="0">
      <alignment horizontal="center" vertical="center"/>
    </xf>
    <xf numFmtId="0" fontId="0" fillId="13" borderId="0" pivotButton="0" quotePrefix="0" xfId="0"/>
    <xf numFmtId="0" fontId="2" fillId="13" borderId="0" pivotButton="0" quotePrefix="0" xfId="0"/>
    <xf numFmtId="0" fontId="2" fillId="13" borderId="0" applyAlignment="1" pivotButton="0" quotePrefix="0" xfId="0">
      <alignment horizontal="left"/>
    </xf>
    <xf numFmtId="0" fontId="2" fillId="13" borderId="0" applyAlignment="1" pivotButton="0" quotePrefix="0" xfId="0">
      <alignment horizontal="left" vertical="center"/>
    </xf>
    <xf numFmtId="0" fontId="0" fillId="14" borderId="0" pivotButton="0" quotePrefix="0" xfId="0"/>
    <xf numFmtId="0" fontId="2" fillId="14" borderId="0" pivotButton="0" quotePrefix="0" xfId="0"/>
    <xf numFmtId="0" fontId="2" fillId="14" borderId="0" applyAlignment="1" pivotButton="0" quotePrefix="0" xfId="0">
      <alignment wrapText="1"/>
    </xf>
    <xf numFmtId="0" fontId="2" fillId="14" borderId="0" applyAlignment="1" pivotButton="0" quotePrefix="0" xfId="0">
      <alignment horizontal="center" wrapText="1"/>
    </xf>
    <xf numFmtId="0" fontId="2" fillId="14" borderId="0" applyAlignment="1" pivotButton="0" quotePrefix="0" xfId="0">
      <alignment horizontal="center" vertical="center" wrapText="1"/>
    </xf>
    <xf numFmtId="1" fontId="0" fillId="0" borderId="0" pivotButton="0" quotePrefix="0" xfId="0"/>
    <xf numFmtId="0" fontId="2" fillId="14" borderId="0" applyAlignment="1" pivotButton="0" quotePrefix="0" xfId="0">
      <alignment horizontal="center"/>
    </xf>
    <xf numFmtId="0" fontId="0" fillId="15" borderId="0" pivotButton="0" quotePrefix="0" xfId="0"/>
    <xf numFmtId="0" fontId="3" fillId="15" borderId="0" pivotButton="0" quotePrefix="0" xfId="0"/>
    <xf numFmtId="0" fontId="0" fillId="0" borderId="0" applyAlignment="1" pivotButton="0" quotePrefix="0" xfId="0">
      <alignment vertical="top" wrapText="1"/>
    </xf>
    <xf numFmtId="1" fontId="0" fillId="0" borderId="0" applyAlignment="1" pivotButton="0" quotePrefix="0" xfId="0">
      <alignment wrapText="1"/>
    </xf>
    <xf numFmtId="0" fontId="2" fillId="13" borderId="0" applyAlignment="1" pivotButton="0" quotePrefix="0" xfId="0">
      <alignment horizontal="left" wrapText="1"/>
    </xf>
    <xf numFmtId="0" fontId="2" fillId="13" borderId="0" applyAlignment="1" pivotButton="0" quotePrefix="0" xfId="0">
      <alignment wrapText="1"/>
    </xf>
    <xf numFmtId="0" fontId="3" fillId="15" borderId="0" applyAlignment="1" pivotButton="0" quotePrefix="0" xfId="0">
      <alignment wrapText="1"/>
    </xf>
    <xf numFmtId="0" fontId="2" fillId="14" borderId="0" applyAlignment="1" pivotButton="0" quotePrefix="0" xfId="0">
      <alignment horizontal="center" vertical="top" wrapText="1"/>
    </xf>
    <xf numFmtId="1" fontId="0" fillId="0" borderId="0" applyAlignment="1" pivotButton="0" quotePrefix="0" xfId="0">
      <alignment vertical="top" wrapText="1"/>
    </xf>
    <xf numFmtId="0" fontId="2" fillId="13" borderId="0" applyAlignment="1" pivotButton="0" quotePrefix="0" xfId="0">
      <alignment horizontal="left" vertical="top" wrapText="1"/>
    </xf>
    <xf numFmtId="0" fontId="2" fillId="13" borderId="0" applyAlignment="1" pivotButton="0" quotePrefix="0" xfId="0">
      <alignment vertical="top" wrapText="1"/>
    </xf>
    <xf numFmtId="0" fontId="3" fillId="15" borderId="0" applyAlignment="1" pivotButton="0" quotePrefix="0" xfId="0">
      <alignment vertical="top" wrapText="1"/>
    </xf>
    <xf numFmtId="0" fontId="2" fillId="14" borderId="2" applyAlignment="1" pivotButton="0" quotePrefix="0" xfId="0">
      <alignment horizontal="center" vertical="top" wrapText="1"/>
    </xf>
    <xf numFmtId="0" fontId="2" fillId="14" borderId="3" applyAlignment="1" pivotButton="0" quotePrefix="0" xfId="0">
      <alignment horizontal="center" vertical="top" wrapText="1"/>
    </xf>
    <xf numFmtId="0" fontId="2" fillId="14" borderId="4" applyAlignment="1" pivotButton="0" quotePrefix="0" xfId="0">
      <alignment horizontal="center" vertical="top" wrapText="1"/>
    </xf>
    <xf numFmtId="0" fontId="0" fillId="0" borderId="5" applyAlignment="1" pivotButton="0" quotePrefix="0" xfId="0">
      <alignment vertical="top" wrapText="1"/>
    </xf>
    <xf numFmtId="0" fontId="0" fillId="0" borderId="0" applyAlignment="1" pivotButton="0" quotePrefix="0" xfId="0">
      <alignment vertical="top" wrapText="1"/>
    </xf>
    <xf numFmtId="0" fontId="0" fillId="0" borderId="6" applyAlignment="1" pivotButton="0" quotePrefix="0" xfId="0">
      <alignment vertical="top" wrapText="1"/>
    </xf>
    <xf numFmtId="1" fontId="0" fillId="0" borderId="0" applyAlignment="1" pivotButton="0" quotePrefix="0" xfId="0">
      <alignment vertical="top" wrapText="1"/>
    </xf>
    <xf numFmtId="0" fontId="2" fillId="13" borderId="5" applyAlignment="1" pivotButton="0" quotePrefix="0" xfId="0">
      <alignment horizontal="left" vertical="top" wrapText="1"/>
    </xf>
    <xf numFmtId="0" fontId="2" fillId="13" borderId="0" applyAlignment="1" pivotButton="0" quotePrefix="0" xfId="0">
      <alignment horizontal="left" vertical="top" wrapText="1"/>
    </xf>
    <xf numFmtId="0" fontId="2" fillId="13" borderId="6" applyAlignment="1" pivotButton="0" quotePrefix="0" xfId="0">
      <alignment horizontal="left" vertical="top" wrapText="1"/>
    </xf>
    <xf numFmtId="0" fontId="2" fillId="14" borderId="5" applyAlignment="1" pivotButton="0" quotePrefix="0" xfId="0">
      <alignment horizontal="center" vertical="top" wrapText="1"/>
    </xf>
    <xf numFmtId="0" fontId="2" fillId="14" borderId="0" applyAlignment="1" pivotButton="0" quotePrefix="0" xfId="0">
      <alignment horizontal="center" vertical="top" wrapText="1"/>
    </xf>
    <xf numFmtId="0" fontId="2" fillId="14" borderId="6" applyAlignment="1" pivotButton="0" quotePrefix="0" xfId="0">
      <alignment horizontal="center" vertical="top" wrapText="1"/>
    </xf>
    <xf numFmtId="0" fontId="2" fillId="13" borderId="5" applyAlignment="1" pivotButton="0" quotePrefix="0" xfId="0">
      <alignment vertical="top" wrapText="1"/>
    </xf>
    <xf numFmtId="0" fontId="2" fillId="13" borderId="0" applyAlignment="1" pivotButton="0" quotePrefix="0" xfId="0">
      <alignment vertical="top" wrapText="1"/>
    </xf>
    <xf numFmtId="0" fontId="2" fillId="13" borderId="6" applyAlignment="1" pivotButton="0" quotePrefix="0" xfId="0">
      <alignment vertical="top" wrapText="1"/>
    </xf>
    <xf numFmtId="0" fontId="3" fillId="15" borderId="5" applyAlignment="1" pivotButton="0" quotePrefix="0" xfId="0">
      <alignment vertical="top" wrapText="1"/>
    </xf>
    <xf numFmtId="0" fontId="3" fillId="15" borderId="0" applyAlignment="1" pivotButton="0" quotePrefix="0" xfId="0">
      <alignment vertical="top" wrapText="1"/>
    </xf>
    <xf numFmtId="0" fontId="3" fillId="15"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16" borderId="0" pivotButton="0" quotePrefix="0" xfId="0"/>
    <xf numFmtId="0" fontId="8" fillId="16" borderId="0" pivotButton="0" quotePrefix="0" xfId="0"/>
    <xf numFmtId="0" fontId="2" fillId="8" borderId="0" applyAlignment="1" pivotButton="0" quotePrefix="0" xfId="0">
      <alignment horizontal="left"/>
    </xf>
    <xf numFmtId="0" fontId="2" fillId="8" borderId="0" applyAlignment="1" pivotButton="0" quotePrefix="0" xfId="0">
      <alignment horizontal="left" vertical="center"/>
    </xf>
    <xf numFmtId="0" fontId="2" fillId="3" borderId="0" applyAlignment="1" pivotButton="0" quotePrefix="0" xfId="0">
      <alignment horizontal="center"/>
    </xf>
    <xf numFmtId="0" fontId="2" fillId="8" borderId="0" applyAlignment="1" pivotButton="0" quotePrefix="0" xfId="0">
      <alignment horizontal="left" wrapText="1"/>
    </xf>
    <xf numFmtId="0" fontId="3" fillId="4" borderId="0" applyAlignment="1" pivotButton="0" quotePrefix="0" xfId="0">
      <alignment wrapText="1"/>
    </xf>
    <xf numFmtId="0" fontId="2" fillId="3" borderId="0" applyAlignment="1" pivotButton="0" quotePrefix="0" xfId="0">
      <alignment horizontal="center" vertical="top" wrapText="1"/>
    </xf>
    <xf numFmtId="0" fontId="2" fillId="8" borderId="0" applyAlignment="1" pivotButton="0" quotePrefix="0" xfId="0">
      <alignment horizontal="left" vertical="top" wrapText="1"/>
    </xf>
    <xf numFmtId="0" fontId="2" fillId="8" borderId="0" applyAlignment="1" pivotButton="0" quotePrefix="0" xfId="0">
      <alignment vertical="top" wrapText="1"/>
    </xf>
    <xf numFmtId="0" fontId="3" fillId="4" borderId="0" applyAlignment="1" pivotButton="0" quotePrefix="0" xfId="0">
      <alignment vertical="top" wrapText="1"/>
    </xf>
    <xf numFmtId="0" fontId="2" fillId="8" borderId="0" applyAlignment="1" pivotButton="0" quotePrefix="0" xfId="0">
      <alignment horizontal="left" vertical="top" wrapText="1"/>
    </xf>
    <xf numFmtId="0" fontId="2" fillId="3" borderId="0" applyAlignment="1" pivotButton="0" quotePrefix="0" xfId="0">
      <alignment horizontal="center" vertical="top" wrapText="1"/>
    </xf>
    <xf numFmtId="0" fontId="2" fillId="8" borderId="0" applyAlignment="1" pivotButton="0" quotePrefix="0" xfId="0">
      <alignment vertical="top" wrapText="1"/>
    </xf>
    <xf numFmtId="0" fontId="3" fillId="4" borderId="0" applyAlignment="1" pivotButton="0" quotePrefix="0" xfId="0">
      <alignment vertical="top" wrapText="1"/>
    </xf>
    <xf numFmtId="0" fontId="8" fillId="5" borderId="0" pivotButton="0" quotePrefix="0" xfId="0"/>
    <xf numFmtId="0" fontId="0" fillId="17" borderId="0" pivotButton="0" quotePrefix="0" xfId="0"/>
    <xf numFmtId="0" fontId="1" fillId="17" borderId="0" pivotButton="0" quotePrefix="0" xfId="0"/>
    <xf numFmtId="0" fontId="1" fillId="17" borderId="0" applyAlignment="1" pivotButton="0" quotePrefix="0" xfId="0">
      <alignment horizontal="center"/>
    </xf>
    <xf numFmtId="0" fontId="1" fillId="17" borderId="0" applyAlignment="1" pivotButton="0" quotePrefix="0" xfId="0">
      <alignment horizontal="center" vertical="center"/>
    </xf>
    <xf numFmtId="0" fontId="0" fillId="18" borderId="0" pivotButton="0" quotePrefix="0" xfId="0"/>
    <xf numFmtId="0" fontId="2" fillId="18" borderId="0" pivotButton="0" quotePrefix="0" xfId="0"/>
    <xf numFmtId="0" fontId="2" fillId="18" borderId="0" applyAlignment="1" pivotButton="0" quotePrefix="0" xfId="0">
      <alignment wrapText="1"/>
    </xf>
    <xf numFmtId="0" fontId="2" fillId="18" borderId="0" applyAlignment="1" pivotButton="0" quotePrefix="0" xfId="0">
      <alignment horizontal="center" wrapText="1"/>
    </xf>
    <xf numFmtId="0" fontId="2" fillId="18" borderId="0" applyAlignment="1" pivotButton="0" quotePrefix="0" xfId="0">
      <alignment horizontal="center" vertical="center" wrapText="1"/>
    </xf>
    <xf numFmtId="0" fontId="2" fillId="18" borderId="0" applyAlignment="1" pivotButton="0" quotePrefix="0" xfId="0">
      <alignment horizontal="center" vertical="center" wrapText="1"/>
    </xf>
    <xf numFmtId="0" fontId="2" fillId="2" borderId="0" pivotButton="0" quotePrefix="0" xfId="0"/>
    <xf numFmtId="0" fontId="2" fillId="2" borderId="0" applyAlignment="1" pivotButton="0" quotePrefix="0" xfId="0">
      <alignment wrapText="1"/>
    </xf>
    <xf numFmtId="0" fontId="2" fillId="2" borderId="0" applyAlignment="1" pivotButton="0" quotePrefix="0" xfId="0">
      <alignment horizontal="center" wrapText="1"/>
    </xf>
    <xf numFmtId="0" fontId="2"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8" borderId="0" applyAlignment="1" pivotButton="0" quotePrefix="0" xfId="0">
      <alignment horizontal="left" vertical="center" wrapText="1"/>
    </xf>
    <xf numFmtId="0" fontId="8" fillId="5" borderId="0" applyAlignment="1" pivotButton="0" quotePrefix="0" xfId="0">
      <alignment wrapText="1"/>
    </xf>
    <xf numFmtId="0" fontId="7" fillId="2" borderId="0" applyAlignment="1" pivotButton="0" quotePrefix="0" xfId="0">
      <alignment horizontal="center" vertical="center" wrapText="1"/>
    </xf>
    <xf numFmtId="0" fontId="0" fillId="19" borderId="0" pivotButton="0" quotePrefix="0" xfId="0"/>
    <xf numFmtId="0" fontId="1" fillId="19" borderId="0" pivotButton="0" quotePrefix="0" xfId="0"/>
    <xf numFmtId="0" fontId="1" fillId="19" borderId="0" applyAlignment="1" pivotButton="0" quotePrefix="0" xfId="0">
      <alignment horizontal="center"/>
    </xf>
    <xf numFmtId="0" fontId="1" fillId="19" borderId="0" applyAlignment="1" pivotButton="0" quotePrefix="0" xfId="0">
      <alignment horizontal="center" vertical="center"/>
    </xf>
    <xf numFmtId="0" fontId="0" fillId="20" borderId="0" pivotButton="0" quotePrefix="0" xfId="0"/>
    <xf numFmtId="0" fontId="2" fillId="20" borderId="0" pivotButton="0" quotePrefix="0" xfId="0"/>
    <xf numFmtId="0" fontId="2" fillId="20" borderId="0" applyAlignment="1" pivotButton="0" quotePrefix="0" xfId="0">
      <alignment wrapText="1"/>
    </xf>
    <xf numFmtId="0" fontId="2" fillId="20" borderId="0" applyAlignment="1" pivotButton="0" quotePrefix="0" xfId="0">
      <alignment horizontal="center" wrapText="1"/>
    </xf>
    <xf numFmtId="0" fontId="2" fillId="20" borderId="0" applyAlignment="1" pivotButton="0" quotePrefix="0" xfId="0">
      <alignment horizontal="center" vertical="center" wrapText="1"/>
    </xf>
    <xf numFmtId="0" fontId="0" fillId="21" borderId="0" pivotButton="0" quotePrefix="0" xfId="0"/>
    <xf numFmtId="0" fontId="9" fillId="21" borderId="0" pivotButton="0" quotePrefix="0" xfId="0"/>
    <xf numFmtId="0" fontId="9" fillId="21" borderId="0" applyAlignment="1" pivotButton="0" quotePrefix="0" xfId="0">
      <alignment horizontal="center"/>
    </xf>
    <xf numFmtId="164" fontId="0" fillId="0" borderId="0" pivotButton="0" quotePrefix="0" xfId="0"/>
    <xf numFmtId="164" fontId="0" fillId="0" borderId="0" applyAlignment="1" pivotButton="0" quotePrefix="0" xfId="0">
      <alignment wrapText="1"/>
    </xf>
    <xf numFmtId="0" fontId="0" fillId="22" borderId="0" pivotButton="0" quotePrefix="0" xfId="0"/>
    <xf numFmtId="0" fontId="10" fillId="22" borderId="0" pivotButton="0" quotePrefix="0" xfId="0"/>
    <xf numFmtId="0" fontId="10" fillId="22" borderId="0" applyAlignment="1" pivotButton="0" quotePrefix="0" xfId="0">
      <alignment wrapText="1"/>
    </xf>
    <xf numFmtId="0" fontId="10" fillId="22" borderId="0" applyAlignment="1" pivotButton="0" quotePrefix="0" xfId="0">
      <alignment vertical="top" wrapText="1"/>
    </xf>
    <xf numFmtId="0" fontId="1" fillId="8" borderId="0" pivotButton="0" quotePrefix="0" xfId="0"/>
    <xf numFmtId="0" fontId="1" fillId="8" borderId="0" applyAlignment="1" pivotButton="0" quotePrefix="0" xfId="0">
      <alignment horizontal="center"/>
    </xf>
    <xf numFmtId="0" fontId="1" fillId="8" borderId="0" applyAlignment="1" pivotButton="0" quotePrefix="0" xfId="0">
      <alignment horizontal="center" vertical="center"/>
    </xf>
    <xf numFmtId="0" fontId="0" fillId="9" borderId="0" pivotButton="0" quotePrefix="0" xfId="0"/>
    <xf numFmtId="0" fontId="2" fillId="9" borderId="0" pivotButton="0" quotePrefix="0" xfId="0"/>
    <xf numFmtId="0" fontId="2" fillId="9" borderId="0" applyAlignment="1" pivotButton="0" quotePrefix="0" xfId="0">
      <alignment wrapText="1"/>
    </xf>
    <xf numFmtId="0" fontId="2" fillId="9" borderId="0" applyAlignment="1" pivotButton="0" quotePrefix="0" xfId="0">
      <alignment horizontal="center" wrapText="1"/>
    </xf>
    <xf numFmtId="0" fontId="9" fillId="4" borderId="0" pivotButton="0" quotePrefix="0" xfId="0"/>
    <xf numFmtId="0" fontId="9" fillId="4" borderId="0" applyAlignment="1" pivotButton="0" quotePrefix="0" xfId="0">
      <alignment horizontal="center"/>
    </xf>
    <xf numFmtId="0" fontId="10" fillId="6" borderId="0" pivotButton="0" quotePrefix="0" xfId="0"/>
    <xf numFmtId="0" fontId="10" fillId="6" borderId="0" applyAlignment="1" pivotButton="0" quotePrefix="0" xfId="0">
      <alignment wrapText="1"/>
    </xf>
    <xf numFmtId="0" fontId="10" fillId="6" borderId="0" applyAlignment="1" pivotButton="0" quotePrefix="0" xfId="0">
      <alignment vertical="top" wrapText="1"/>
    </xf>
    <xf numFmtId="0" fontId="0" fillId="23" borderId="0" pivotButton="0" quotePrefix="0" xfId="0"/>
    <xf numFmtId="0" fontId="2" fillId="23" borderId="0" pivotButton="0" quotePrefix="0" xfId="0"/>
    <xf numFmtId="0" fontId="2" fillId="23" borderId="0" applyAlignment="1" pivotButton="0" quotePrefix="0" xfId="0">
      <alignment wrapText="1"/>
    </xf>
    <xf numFmtId="0" fontId="2" fillId="23" borderId="0" applyAlignment="1" pivotButton="0" quotePrefix="0" xfId="0">
      <alignment horizontal="center" wrapText="1"/>
    </xf>
    <xf numFmtId="0" fontId="2" fillId="23" borderId="0" applyAlignment="1" pivotButton="0" quotePrefix="0" xfId="0">
      <alignment horizontal="center" vertical="center" wrapText="1"/>
    </xf>
    <xf numFmtId="0" fontId="0" fillId="24" borderId="0" pivotButton="0" quotePrefix="0" xfId="0"/>
    <xf numFmtId="0" fontId="3" fillId="24" borderId="0" pivotButton="0" quotePrefix="0" xfId="0"/>
    <xf numFmtId="0" fontId="3" fillId="24" borderId="0" applyAlignment="1" pivotButton="0" quotePrefix="0" xfId="0">
      <alignment wrapText="1"/>
    </xf>
    <xf numFmtId="0" fontId="3" fillId="24" borderId="0" applyAlignment="1" pivotButton="0" quotePrefix="0" xfId="0">
      <alignment horizontal="center" wrapText="1"/>
    </xf>
    <xf numFmtId="0" fontId="3" fillId="24" borderId="0" applyAlignment="1" pivotButton="0" quotePrefix="0" xfId="0">
      <alignment horizontal="center" vertical="center"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25" borderId="0" pivotButton="0" quotePrefix="0" xfId="0"/>
    <xf numFmtId="0" fontId="1" fillId="25" borderId="0" pivotButton="0" quotePrefix="0" xfId="0"/>
    <xf numFmtId="0" fontId="1" fillId="25" borderId="0" applyAlignment="1" pivotButton="0" quotePrefix="0" xfId="0">
      <alignment horizontal="center"/>
    </xf>
    <xf numFmtId="0" fontId="1" fillId="25" borderId="0" applyAlignment="1" pivotButton="0" quotePrefix="0" xfId="0">
      <alignment horizontal="center" vertical="center"/>
    </xf>
    <xf numFmtId="0" fontId="0" fillId="26" borderId="0" pivotButton="0" quotePrefix="0" xfId="0"/>
    <xf numFmtId="0" fontId="2" fillId="26" borderId="0" pivotButton="0" quotePrefix="0" xfId="0"/>
    <xf numFmtId="0" fontId="2" fillId="26" borderId="0" applyAlignment="1" pivotButton="0" quotePrefix="0" xfId="0">
      <alignment wrapText="1"/>
    </xf>
    <xf numFmtId="0" fontId="2" fillId="26" borderId="0" applyAlignment="1" pivotButton="0" quotePrefix="0" xfId="0">
      <alignment horizontal="center" wrapText="1"/>
    </xf>
    <xf numFmtId="0" fontId="2" fillId="26" borderId="0" applyAlignment="1" pivotButton="0" quotePrefix="0" xfId="0">
      <alignment horizontal="center" vertical="center"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12" applyAlignment="1" pivotButton="0" quotePrefix="0" xfId="0">
      <alignmen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7" applyAlignment="1" pivotButton="0" quotePrefix="0" xfId="0">
      <alignment vertical="top" wrapText="1"/>
    </xf>
    <xf numFmtId="0" fontId="1" fillId="2" borderId="17" applyAlignment="1" pivotButton="0" quotePrefix="0" xfId="0">
      <alignment horizontal="center" vertical="center" wrapText="1"/>
    </xf>
    <xf numFmtId="0" fontId="0" fillId="0" borderId="17" pivotButton="0" quotePrefix="0" xfId="0"/>
    <xf numFmtId="0" fontId="0" fillId="0" borderId="17" applyAlignment="1" pivotButton="0" quotePrefix="0" xfId="0">
      <alignment vertical="center" wrapText="1"/>
    </xf>
    <xf numFmtId="0" fontId="7" fillId="10" borderId="17" applyAlignment="1" pivotButton="0" quotePrefix="0" xfId="0">
      <alignment horizontal="center" vertical="center"/>
    </xf>
    <xf numFmtId="0" fontId="1" fillId="12" borderId="17" applyAlignment="1" pivotButton="0" quotePrefix="0" xfId="0">
      <alignment horizontal="center" vertical="center"/>
    </xf>
    <xf numFmtId="0" fontId="2" fillId="13" borderId="17" applyAlignment="1" pivotButton="0" quotePrefix="0" xfId="0">
      <alignment horizontal="left" vertical="center"/>
    </xf>
    <xf numFmtId="1" fontId="0" fillId="0" borderId="0" applyAlignment="1" pivotButton="0" quotePrefix="0" xfId="0">
      <alignment vertical="top" wrapText="1"/>
    </xf>
    <xf numFmtId="0" fontId="2" fillId="13" borderId="17" applyAlignment="1" pivotButton="0" quotePrefix="0" xfId="0">
      <alignment horizontal="left" vertical="top" wrapText="1"/>
    </xf>
    <xf numFmtId="0" fontId="2" fillId="13" borderId="17" applyAlignment="1" pivotButton="0" quotePrefix="0" xfId="0">
      <alignment vertical="top" wrapText="1"/>
    </xf>
    <xf numFmtId="0" fontId="3" fillId="15" borderId="17" applyAlignment="1" pivotButton="0" quotePrefix="0" xfId="0">
      <alignment vertical="top" wrapText="1"/>
    </xf>
    <xf numFmtId="0" fontId="8" fillId="16" borderId="17" pivotButton="0" quotePrefix="0" xfId="0"/>
    <xf numFmtId="0" fontId="1" fillId="17" borderId="17" applyAlignment="1" pivotButton="0" quotePrefix="0" xfId="0">
      <alignment horizontal="center" vertical="center"/>
    </xf>
    <xf numFmtId="0" fontId="1" fillId="19" borderId="17" applyAlignment="1" pivotButton="0" quotePrefix="0" xfId="0">
      <alignment horizontal="center" vertical="center"/>
    </xf>
    <xf numFmtId="164" fontId="0" fillId="0" borderId="0" applyAlignment="1" pivotButton="0" quotePrefix="0" xfId="0">
      <alignment wrapText="1"/>
    </xf>
    <xf numFmtId="0" fontId="10" fillId="22" borderId="17" applyAlignment="1" pivotButton="0" quotePrefix="0" xfId="0">
      <alignment vertical="top" wrapText="1"/>
    </xf>
    <xf numFmtId="0" fontId="2" fillId="23" borderId="17" applyAlignment="1" pivotButton="0" quotePrefix="0" xfId="0">
      <alignment horizontal="center" vertical="center" wrapText="1"/>
    </xf>
    <xf numFmtId="0" fontId="1" fillId="25" borderId="17" applyAlignment="1" pivotButton="0" quotePrefix="0" xfId="0">
      <alignment horizontal="center" vertical="center"/>
    </xf>
    <xf numFmtId="0" fontId="13" fillId="31" borderId="0" applyAlignment="1" pivotButton="0" quotePrefix="0" xfId="0">
      <alignment vertical="top" wrapText="1"/>
    </xf>
    <xf numFmtId="0" fontId="11" fillId="27" borderId="17" applyAlignment="1" pivotButton="0" quotePrefix="0" xfId="0">
      <alignment horizontal="left" vertical="center"/>
    </xf>
    <xf numFmtId="0" fontId="12" fillId="28" borderId="0" applyAlignment="1" pivotButton="0" quotePrefix="0" xfId="0">
      <alignment horizontal="center" vertical="center" wrapText="1"/>
    </xf>
    <xf numFmtId="0" fontId="0" fillId="29" borderId="18" applyAlignment="1" pivotButton="0" quotePrefix="0" xfId="0">
      <alignment vertical="top" wrapText="1"/>
    </xf>
    <xf numFmtId="0" fontId="0" fillId="30" borderId="18" applyAlignment="1" pivotButton="0" quotePrefix="0" xfId="0">
      <alignment vertical="top" wrapText="1"/>
    </xf>
    <xf numFmtId="0" fontId="0" fillId="31" borderId="18" applyAlignment="1" pivotButton="0" quotePrefix="0" xfId="0">
      <alignment vertical="top" wrapText="1"/>
    </xf>
    <xf numFmtId="0" fontId="14" fillId="28" borderId="17" pivotButton="0" quotePrefix="0" xfId="0"/>
    <xf numFmtId="0" fontId="15" fillId="32" borderId="0" applyAlignment="1" pivotButton="0" quotePrefix="0" xfId="0">
      <alignment vertical="center" wrapText="1"/>
    </xf>
    <xf numFmtId="0" fontId="16" fillId="0" borderId="0" applyAlignment="1" pivotButton="0" quotePrefix="0" xfId="0">
      <alignment vertical="top" wrapText="1"/>
    </xf>
    <xf numFmtId="0" fontId="15" fillId="33" borderId="17" applyAlignment="1" pivotButton="0" quotePrefix="0" xfId="0">
      <alignment vertical="top" wrapText="1"/>
    </xf>
    <xf numFmtId="0" fontId="13" fillId="31" borderId="17" applyAlignment="1" pivotButton="0" quotePrefix="0" xfId="0">
      <alignment vertical="top" wrapText="1"/>
    </xf>
    <xf numFmtId="0" fontId="16" fillId="0" borderId="17" applyAlignment="1" pivotButton="0" quotePrefix="0" xfId="0">
      <alignment vertical="top" wrapText="1"/>
    </xf>
    <xf numFmtId="0" fontId="17" fillId="27" borderId="17" applyAlignment="1" pivotButton="0" quotePrefix="0" xfId="0">
      <alignment horizontal="left" vertical="center"/>
    </xf>
    <xf numFmtId="0" fontId="15" fillId="28" borderId="0" applyAlignment="1" pivotButton="0" quotePrefix="0" xfId="0">
      <alignment horizontal="left" vertical="center" wrapText="1"/>
    </xf>
    <xf numFmtId="0" fontId="18" fillId="34" borderId="0" applyAlignment="1" pivotButton="0" quotePrefix="0" xfId="0">
      <alignment vertical="top" wrapText="1"/>
    </xf>
    <xf numFmtId="0" fontId="19" fillId="34" borderId="0" applyAlignment="1" pivotButton="0" quotePrefix="0" xfId="0">
      <alignment vertical="top" wrapText="1"/>
    </xf>
    <xf numFmtId="0" fontId="0" fillId="34" borderId="0" applyAlignment="1" pivotButton="0" quotePrefix="0" xfId="0">
      <alignment vertical="top" wrapText="1"/>
    </xf>
    <xf numFmtId="0" fontId="18" fillId="0" borderId="0" applyAlignment="1" pivotButton="0" quotePrefix="0" xfId="0">
      <alignment vertical="top" wrapText="1"/>
    </xf>
    <xf numFmtId="0" fontId="19" fillId="0" borderId="0" applyAlignment="1" pivotButton="0" quotePrefix="0" xfId="0">
      <alignment vertical="top" wrapText="1"/>
    </xf>
    <xf numFmtId="0" fontId="20" fillId="27" borderId="17" applyAlignment="1" pivotButton="0" quotePrefix="0" xfId="0">
      <alignment horizontal="left" vertical="center"/>
    </xf>
    <xf numFmtId="0" fontId="15" fillId="28" borderId="17" applyAlignment="1" pivotButton="0" quotePrefix="0" xfId="0">
      <alignment horizontal="left" vertical="center"/>
    </xf>
    <xf numFmtId="0" fontId="23" fillId="32" borderId="0" applyAlignment="1" pivotButton="0" quotePrefix="0" xfId="0">
      <alignment horizontal="left" vertical="center" wrapText="1"/>
    </xf>
    <xf numFmtId="0" fontId="21" fillId="0" borderId="0" applyAlignment="1" pivotButton="0" quotePrefix="0" xfId="0">
      <alignment vertical="top" wrapText="1"/>
    </xf>
    <xf numFmtId="0" fontId="22" fillId="0" borderId="0" applyAlignment="1" pivotButton="0" quotePrefix="0" xfId="0">
      <alignment vertical="top" wrapText="1"/>
    </xf>
    <xf numFmtId="0" fontId="21" fillId="34" borderId="0" applyAlignment="1" pivotButton="0" quotePrefix="0" xfId="0">
      <alignment vertical="top" wrapText="1"/>
    </xf>
    <xf numFmtId="0" fontId="22" fillId="34" borderId="0" applyAlignment="1" pivotButton="0" quotePrefix="0" xfId="0">
      <alignment vertical="top" wrapText="1"/>
    </xf>
    <xf numFmtId="0" fontId="24" fillId="35" borderId="17" applyAlignment="1" pivotButton="0" quotePrefix="0" xfId="0">
      <alignment vertical="center" wrapText="1"/>
    </xf>
    <xf numFmtId="0" fontId="20" fillId="27" borderId="17" applyAlignment="1" pivotButton="0" quotePrefix="0" xfId="0">
      <alignment horizontal="left" vertical="top" wrapText="1"/>
    </xf>
    <xf numFmtId="0" fontId="15" fillId="28" borderId="17" applyAlignment="1" pivotButton="0" quotePrefix="0" xfId="0">
      <alignment horizontal="left" vertical="top" wrapText="1"/>
    </xf>
    <xf numFmtId="0" fontId="23" fillId="32" borderId="0" applyAlignment="1" pivotButton="0" quotePrefix="0" xfId="0">
      <alignment horizontal="left" vertical="top" wrapText="1"/>
    </xf>
    <xf numFmtId="0" fontId="23" fillId="32" borderId="17" applyAlignment="1" pivotButton="0" quotePrefix="0" xfId="0">
      <alignment horizontal="left" vertical="top" wrapText="1"/>
    </xf>
    <xf numFmtId="0" fontId="21" fillId="34" borderId="17" applyAlignment="1" pivotButton="0" quotePrefix="0" xfId="0">
      <alignment vertical="top" wrapText="1"/>
    </xf>
    <xf numFmtId="0" fontId="22" fillId="34" borderId="17" applyAlignment="1" pivotButton="0" quotePrefix="0" xfId="0">
      <alignment vertical="top" wrapText="1"/>
    </xf>
    <xf numFmtId="0" fontId="24" fillId="35" borderId="17" applyAlignment="1" pivotButton="0" quotePrefix="0" xfId="0">
      <alignment vertical="top" wrapText="1"/>
    </xf>
    <xf numFmtId="0" fontId="26" fillId="35" borderId="0" applyAlignment="1" pivotButton="0" quotePrefix="0" xfId="0">
      <alignment horizontal="left" vertical="top" wrapText="1"/>
    </xf>
    <xf numFmtId="0" fontId="22" fillId="0" borderId="0" applyAlignment="1" pivotButton="0" quotePrefix="0" xfId="0">
      <alignment horizontal="left" vertical="top" wrapText="1"/>
    </xf>
    <xf numFmtId="0" fontId="22" fillId="34" borderId="0" applyAlignment="1" pivotButton="0" quotePrefix="0" xfId="0">
      <alignment horizontal="left" vertical="top" wrapText="1"/>
    </xf>
  </cellXfs>
  <cellStyles count="1">
    <cellStyle name="Normal" xfId="0"/>
  </cellStyles>
  <dxfs count="3">
    <dxf>
      <fill>
        <patternFill>
          <bgColor rgb="FFE2F0D9"/>
        </patternFill>
      </fill>
    </dxf>
    <dxf>
      <fill>
        <patternFill>
          <bgColor rgb="FFFFF2CC"/>
        </patternFill>
      </fill>
    </dxf>
    <dxf>
      <fill>
        <patternFill>
          <bgColor rgb="FFE7E6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G60"/>
  <sheetViews>
    <sheetView showGridLines="0" workbookViewId="0">
      <pane ySplit="4" topLeftCell="A5" activePane="bottomLeft" state="frozen"/>
      <selection pane="bottomLeft" activeCell="A1" sqref="A1"/>
    </sheetView>
  </sheetViews>
  <sheetFormatPr baseColWidth="8" defaultRowHeight="15"/>
  <cols>
    <col width="29" customWidth="1" style="58" min="1" max="1"/>
    <col width="55" customWidth="1" style="58" min="2" max="2"/>
    <col width="62" customWidth="1" style="58" min="3" max="3"/>
    <col width="62" customWidth="1" style="58" min="4" max="4"/>
    <col width="28" customWidth="1" style="58" min="5" max="5"/>
    <col width="55" customWidth="1" style="58" min="6" max="6"/>
    <col width="48" customWidth="1" style="58" min="7" max="7"/>
  </cols>
  <sheetData>
    <row r="1" ht="26" customHeight="1" s="58">
      <c r="A1" s="270" t="inlineStr">
        <is>
          <t>SDP Project Handoff - Read This First</t>
        </is>
      </c>
      <c r="B1" s="227" t="n"/>
      <c r="C1" s="227" t="n"/>
      <c r="D1" s="227" t="n"/>
      <c r="E1" s="227" t="n"/>
      <c r="F1" s="227" t="n"/>
      <c r="G1" s="227" t="n"/>
    </row>
    <row r="2" ht="42" customHeight="1" s="58">
      <c r="A2" s="277" t="inlineStr">
        <is>
          <t>Purpose: give a new project chat enough context to continue the STM32G474 PCB/CubeMX work without re-deriving prior decisions. Treat CONFIRMED/IMPLEMENTED items as settled unless the user changes them; treat OPEN/PENDING items as unresolved.</t>
        </is>
      </c>
      <c r="B2" s="227" t="n"/>
      <c r="C2" s="227" t="n"/>
      <c r="D2" s="227" t="n"/>
      <c r="E2" s="227" t="n"/>
      <c r="F2" s="227" t="n"/>
      <c r="G2" s="227" t="n"/>
    </row>
    <row r="4" ht="30" customHeight="1" s="58">
      <c r="A4" s="272" t="inlineStr">
        <is>
          <t>Topic</t>
        </is>
      </c>
      <c r="B4" s="272" t="inlineStr">
        <is>
          <t>Current Decision / State</t>
        </is>
      </c>
      <c r="C4" s="272" t="inlineStr">
        <is>
          <t>Implementation Details</t>
        </is>
      </c>
      <c r="D4" s="272" t="inlineStr">
        <is>
          <t>Why / Constraint</t>
        </is>
      </c>
      <c r="E4" s="272" t="inlineStr">
        <is>
          <t>Status</t>
        </is>
      </c>
      <c r="F4" s="272" t="inlineStr">
        <is>
          <t>Next Action</t>
        </is>
      </c>
      <c r="G4" s="272" t="inlineStr">
        <is>
          <t>Reference</t>
        </is>
      </c>
    </row>
    <row r="5" ht="22" customHeight="1" s="58">
      <c r="A5" s="271" t="inlineStr">
        <is>
          <t>WORKING CONVENTIONS</t>
        </is>
      </c>
      <c r="B5" s="227" t="n"/>
      <c r="C5" s="227" t="n"/>
      <c r="D5" s="227" t="n"/>
      <c r="E5" s="227" t="n"/>
      <c r="F5" s="227" t="n"/>
      <c r="G5" s="227" t="n"/>
    </row>
    <row r="6" ht="62" customHeight="1" s="58">
      <c r="A6" s="277" t="inlineStr">
        <is>
          <t>Spreadsheet update policy</t>
        </is>
      </c>
      <c r="B6" s="277" t="inlineStr">
        <is>
          <t>Only record decisions that the user has actually accepted/implemented. Do not log exploratory ideas, alternatives, or recommendations as settled design choices.</t>
        </is>
      </c>
      <c r="C6" s="277" t="inlineStr">
        <is>
          <t>This was explicitly requested after socket alternatives were discussed but rejected.</t>
        </is>
      </c>
      <c r="D6" s="277" t="inlineStr">
        <is>
          <t>Keep the tracker authoritative rather than turning it into a brainstorm log.</t>
        </is>
      </c>
      <c r="E6" s="277" t="inlineStr">
        <is>
          <t>CONFIRMED</t>
        </is>
      </c>
      <c r="F6" s="277" t="inlineStr">
        <is>
          <t>Apply this rule to all future edits.</t>
        </is>
      </c>
      <c r="G6" s="278" t="inlineStr">
        <is>
          <t>User instruction / project workflow</t>
        </is>
      </c>
    </row>
    <row r="7" ht="62" customHeight="1" s="58">
      <c r="A7" s="277" t="inlineStr">
        <is>
          <t>Design-review style</t>
        </is>
      </c>
      <c r="B7" s="277" t="inlineStr">
        <is>
          <t>Explain the logic and math behind recommendations, especially for power, timing, current, trace width, and layout decisions.</t>
        </is>
      </c>
      <c r="C7" s="277" t="inlineStr">
        <is>
          <t>User prefers direct, step-by-step technical explanations and wants the reasoning for each suggestion.</t>
        </is>
      </c>
      <c r="D7" s="277" t="inlineStr">
        <is>
          <t>This project is being built iteratively in Altium/CubeMX and the user verifies each step.</t>
        </is>
      </c>
      <c r="E7" s="277" t="inlineStr">
        <is>
          <t>CONFIRMED</t>
        </is>
      </c>
      <c r="F7" s="277" t="inlineStr">
        <is>
          <t>When uncertain, distinguish implemented facts from recommendations and open items.</t>
        </is>
      </c>
      <c r="G7" s="279" t="inlineStr">
        <is>
          <t>Project conversation</t>
        </is>
      </c>
    </row>
    <row r="9" ht="22" customHeight="1" s="58">
      <c r="A9" s="271" t="inlineStr">
        <is>
          <t>PROJECT / SYSTEM ARCHITECTURE</t>
        </is>
      </c>
      <c r="B9" s="227" t="n"/>
      <c r="C9" s="227" t="n"/>
      <c r="D9" s="227" t="n"/>
      <c r="E9" s="227" t="n"/>
      <c r="F9" s="227" t="n"/>
      <c r="G9" s="227" t="n"/>
    </row>
    <row r="10" ht="62" customHeight="1" s="58">
      <c r="A10" s="277" t="inlineStr">
        <is>
          <t>Board purpose</t>
        </is>
      </c>
      <c r="B10" s="277" t="inlineStr">
        <is>
          <t>Custom STM32G474-based vehicle-control / power-distribution PCB for acceleration, braking, steering, six servos, Raspberry Pi 4 interface, offboard STM interface, pump/solenoid/modem branch, and three BTS7960 motor-driver interfaces.</t>
        </is>
      </c>
      <c r="C10" s="277" t="inlineStr">
        <is>
          <t>The board combines control logic, 12 V distribution, local 5 V / 6 V / 3.3 V generation, and external harness connectors.</t>
        </is>
      </c>
      <c r="D10" s="277" t="inlineStr">
        <is>
          <t>High-current/noisy loads coexist with MCU/UART/SWD logic, so grounding, current paths, and switcher layout are critical.</t>
        </is>
      </c>
      <c r="E10" s="277" t="inlineStr">
        <is>
          <t>CONFIRMED</t>
        </is>
      </c>
      <c r="F10" s="277" t="inlineStr">
        <is>
          <t>Continue PCB placement/routing with power integrity first, then signal routing.</t>
        </is>
      </c>
      <c r="G10" s="278" t="inlineStr">
        <is>
          <t>See Overview, Power Budget, Connector BOM</t>
        </is>
      </c>
    </row>
    <row r="11" ht="62" customHeight="1" s="58">
      <c r="A11" s="277" t="inlineStr">
        <is>
          <t>Primary source power</t>
        </is>
      </c>
      <c r="B11" s="277" t="inlineStr">
        <is>
          <t>Vehicle uses a 24 V battery system. An ATO WG-24S1230 converter produces 12 V / 30 A / 360 W for the PCB and 12 V loads.</t>
        </is>
      </c>
      <c r="C11" s="277" t="inlineStr">
        <is>
          <t>Converter input range: 18-36 V; 12 V output. Accelerator motor power remains on a separate 24 V branch and does not pass through the PCB 12 V converter/fuse.</t>
        </is>
      </c>
      <c r="D11" s="277" t="inlineStr">
        <is>
          <t>Separates the 24 V accelerator power path from the 12 V PCB distribution.</t>
        </is>
      </c>
      <c r="E11" s="277" t="inlineStr">
        <is>
          <t>CONFIRMED</t>
        </is>
      </c>
      <c r="F11" s="277" t="inlineStr">
        <is>
          <t>Maintain separate upstream battery-side protection for the 24-to-12 V converter.</t>
        </is>
      </c>
      <c r="G11" s="279" t="inlineStr">
        <is>
          <t>See Power Budget / Connector BOM</t>
        </is>
      </c>
    </row>
    <row r="12" ht="62" customHeight="1" s="58">
      <c r="A12" s="277" t="inlineStr">
        <is>
          <t>12 V board input</t>
        </is>
      </c>
      <c r="B12" s="277" t="inlineStr">
        <is>
          <t>Main PCB input uses a 2-position Molex Mega-Fit header 0768290002 with cable housing 1716920202 and a 20 A MINI fuse 0297020.WXNV in the existing Littelfuse holder.</t>
        </is>
      </c>
      <c r="C12" s="277" t="inlineStr">
        <is>
          <t>The previous 6-position Mini-Fit main-input concept was replaced; do not revert to parallel contacts for the main input.</t>
        </is>
      </c>
      <c r="D12" s="277" t="inlineStr">
        <is>
          <t>A single high-current Mega-Fit pair is cleaner and avoids current-sharing uncertainty between parallel pins.</t>
        </is>
      </c>
      <c r="E12" s="277" t="inlineStr">
        <is>
          <t>IMPLEMENTED / PARTS SELECTED</t>
        </is>
      </c>
      <c r="F12" s="277" t="inlineStr">
        <is>
          <t>Crimp terminal and final wire length/gauge purchase is intentionally deferred until harness lengths are known.</t>
        </is>
      </c>
      <c r="G12" s="278" t="inlineStr">
        <is>
          <t>See Connector BOM</t>
        </is>
      </c>
    </row>
    <row r="13" ht="62" customHeight="1" s="58">
      <c r="A13" s="277" t="inlineStr">
        <is>
          <t>Power-tree summary</t>
        </is>
      </c>
      <c r="B13" s="277" t="inlineStr">
        <is>
          <t>12 V feeds the LMR51450 5 V buck and NSR020A0X43Z 6 V module. The 5 V rail feeds the TLV70033 3.3 V LDO for the onboard STM32 and also supports external 5 V loads such as the Pi / logic interfaces.</t>
        </is>
      </c>
      <c r="C13" s="277" t="inlineStr">
        <is>
          <t>6 V rail powers six servos; 12 V rail powers pump/solenoid/modem and brake/steering actuator branches.</t>
        </is>
      </c>
      <c r="D13" s="277" t="inlineStr">
        <is>
          <t>This is the routing/current hierarchy that should drive copper sizing and placement.</t>
        </is>
      </c>
      <c r="E13" s="277" t="inlineStr">
        <is>
          <t>CONFIRMED</t>
        </is>
      </c>
      <c r="F13" s="277" t="inlineStr">
        <is>
          <t>Keep high-current distribution broad and keep switching loops compact.</t>
        </is>
      </c>
      <c r="G13" s="279" t="inlineStr">
        <is>
          <t>See Power Budget / Schematic Review</t>
        </is>
      </c>
    </row>
    <row r="15" ht="22" customHeight="1" s="58">
      <c r="A15" s="271" t="inlineStr">
        <is>
          <t>MCU / CUBEMX CONFIGURATION</t>
        </is>
      </c>
      <c r="B15" s="227" t="n"/>
      <c r="C15" s="227" t="n"/>
      <c r="D15" s="227" t="n"/>
      <c r="E15" s="227" t="n"/>
      <c r="F15" s="227" t="n"/>
      <c r="G15" s="227" t="n"/>
    </row>
    <row r="16" ht="62" customHeight="1" s="58">
      <c r="A16" s="277" t="inlineStr">
        <is>
          <t>MCU</t>
        </is>
      </c>
      <c r="B16" s="277" t="inlineStr">
        <is>
          <t>STM32G474CBT6TR, LQFP48. In CubeMX select STM32G474CBT6 LQFP48.</t>
        </is>
      </c>
      <c r="C16" s="277" t="inlineStr">
        <is>
          <t>No socket/PLCC conversion is planned; native SMD package will be soldered/reflowed directly to the PCB.</t>
        </is>
      </c>
      <c r="D16" s="277" t="inlineStr">
        <is>
          <t>Sockets were considered and rejected as expensive, bulky, and electrically worse for this design.</t>
        </is>
      </c>
      <c r="E16" s="277" t="inlineStr">
        <is>
          <t>CONFIRMED</t>
        </is>
      </c>
      <c r="F16" s="277" t="inlineStr">
        <is>
          <t>Use native LQFP48 footprint and preserve SWD access.</t>
        </is>
      </c>
      <c r="G16" s="278" t="inlineStr">
        <is>
          <t>See Overview / Design Decisions</t>
        </is>
      </c>
    </row>
    <row r="17" ht="62" customHeight="1" s="58">
      <c r="A17" s="277" t="inlineStr">
        <is>
          <t>System clock</t>
        </is>
      </c>
      <c r="B17" s="277" t="inlineStr">
        <is>
          <t>100 MHz SYSCLK/HCLK/PCLK1/PCLK2 using HSI16 -&gt; PLL: /2 x25 /2. APB1 and APB2 prescalers are /1.</t>
        </is>
      </c>
      <c r="C17" s="277" t="inlineStr">
        <is>
          <t>HSE and LSE are disabled; no external crystal is required for the current design.</t>
        </is>
      </c>
      <c r="D17" s="277" t="inlineStr">
        <is>
          <t>100 MHz is sufficient for all planned PWM, UART, GPIO, and control functions.</t>
        </is>
      </c>
      <c r="E17" s="277" t="inlineStr">
        <is>
          <t>IMPLEMENTED</t>
        </is>
      </c>
      <c r="F17" s="277" t="inlineStr">
        <is>
          <t>Do not change clock tree unless a new peripheral requirement forces it.</t>
        </is>
      </c>
      <c r="G17" s="279" t="inlineStr">
        <is>
          <t>See Clock Configuration</t>
        </is>
      </c>
    </row>
    <row r="18" ht="62" customHeight="1" s="58">
      <c r="A18" s="277" t="inlineStr">
        <is>
          <t>Programming/debug</t>
        </is>
      </c>
      <c r="B18" s="277" t="inlineStr">
        <is>
          <t>SYS Debug = Serial Wire. PA13 = SWDIO, PA14 = SWCLK, PG10 = NRST.</t>
        </is>
      </c>
      <c r="C18" s="277" t="inlineStr">
        <is>
          <t>Onboard MCU is programmed through SWD rather than adding USB programming hardware.</t>
        </is>
      </c>
      <c r="D18" s="277" t="inlineStr">
        <is>
          <t>SWD is simple, reliable, and keeps the board smaller than adding a USB interface/programmer path.</t>
        </is>
      </c>
      <c r="E18" s="277" t="inlineStr">
        <is>
          <t>IMPLEMENTED</t>
        </is>
      </c>
      <c r="F18" s="277" t="inlineStr">
        <is>
          <t>Keep SWD connector accessible in final placement/routing.</t>
        </is>
      </c>
      <c r="G18" s="278" t="inlineStr">
        <is>
          <t>See Pin Configuration / Power &amp; Reset</t>
        </is>
      </c>
    </row>
    <row r="19" ht="62" customHeight="1" s="58">
      <c r="A19" s="277" t="inlineStr">
        <is>
          <t>Pi UART</t>
        </is>
      </c>
      <c r="B19" s="277" t="inlineStr">
        <is>
          <t>USART3 asynchronous at 115200, 8-N-1, no hardware flow control. PB10 = USART3_TX to Pi RX; PB11 = USART3_RX from Pi TX. USART3 IRQ enabled; RX internal pull-up enabled.</t>
        </is>
      </c>
      <c r="C19" s="277" t="inlineStr">
        <is>
          <t>No UART DMA is planned currently.</t>
        </is>
      </c>
      <c r="D19" s="277" t="inlineStr">
        <is>
          <t>Normal Pi UART is asynchronous and requires only TX/RX/GND, not a clock line.</t>
        </is>
      </c>
      <c r="E19" s="277" t="inlineStr">
        <is>
          <t>IMPLEMENTED</t>
        </is>
      </c>
      <c r="F19" s="277" t="inlineStr">
        <is>
          <t>Route as ordinary low-speed digital signals with clean ground reference.</t>
        </is>
      </c>
      <c r="G19" s="279" t="inlineStr">
        <is>
          <t>See Peripheral Plan / Pin Configuration</t>
        </is>
      </c>
    </row>
    <row r="20" ht="62" customHeight="1" s="58">
      <c r="A20" s="277" t="inlineStr">
        <is>
          <t>Motor PWM</t>
        </is>
      </c>
      <c r="B20" s="277" t="inlineStr">
        <is>
          <t>TIM1 CH1-4 on PA8/PA9/PA10/PA11 for accelerator/brake PWM; TIM2 CH1-2 on PA0/PA1 for steering PWM. All motor PWM is 20 kHz.</t>
        </is>
      </c>
      <c r="C20" s="277" t="inlineStr">
        <is>
          <t>PSC=0, ARR=4999 at a 100 MHz timer clock, so fPWM = 100 MHz / (1 x 5000) = 20 kHz. PWM mode 1, active high, pulse initially 0.</t>
        </is>
      </c>
      <c r="D20" s="277" t="inlineStr">
        <is>
          <t>20 kHz is within BTS7960 PWM capability and keeps motor control above most audible range.</t>
        </is>
      </c>
      <c r="E20" s="277" t="inlineStr">
        <is>
          <t>IMPLEMENTED</t>
        </is>
      </c>
      <c r="F20" s="277" t="inlineStr">
        <is>
          <t>Maintain correct pin names and initial 0% duty at startup.</t>
        </is>
      </c>
      <c r="G20" s="278" t="inlineStr">
        <is>
          <t>See Timer Configuration</t>
        </is>
      </c>
    </row>
    <row r="21" ht="62" customHeight="1" s="58">
      <c r="A21" s="277" t="inlineStr">
        <is>
          <t>Motor enables</t>
        </is>
      </c>
      <c r="B21" s="277" t="inlineStr">
        <is>
          <t>PA4 ACC_EN1, PA5 ACC_EN2, PB12 BRA_EN1, PB13 BRA_EN2, PB14 STE_EN1, PB15 STE_EN2.</t>
        </is>
      </c>
      <c r="C21" s="277" t="inlineStr">
        <is>
          <t>GPIO push-pull, initial LOW, no internal pull, low speed. Each line has an external 10 kOhm pull-down.</t>
        </is>
      </c>
      <c r="D21" s="277" t="inlineStr">
        <is>
          <t>Default-low behavior prevents unintended motor-driver enable during reset/startup.</t>
        </is>
      </c>
      <c r="E21" s="277" t="inlineStr">
        <is>
          <t>IMPLEMENTED</t>
        </is>
      </c>
      <c r="F21" s="277" t="inlineStr">
        <is>
          <t>Keep external pull-downs on the actual same electrical net; a shunt pull-down does not create a separate connector/MCU net.</t>
        </is>
      </c>
      <c r="G21" s="279" t="inlineStr">
        <is>
          <t>See GPIO Configuration</t>
        </is>
      </c>
    </row>
    <row r="22" ht="62" customHeight="1" s="58">
      <c r="A22" s="277" t="inlineStr">
        <is>
          <t>Servo PWM</t>
        </is>
      </c>
      <c r="B22" s="277" t="inlineStr">
        <is>
          <t>PA6 TIM3_CH1, PA7 TIM3_CH2, PB0 TIM3_CH3, PB1 TIM3_CH4, PA2 TIM5_CH3, PA3 TIM5_CH4. Six independent servo PWM outputs.</t>
        </is>
      </c>
      <c r="C22" s="277" t="inlineStr">
        <is>
          <t>PSC=99, ARR=19999 -&gt; 1 MHz timer tick = 1 us/count and 20 ms period = 50 Hz. Pulse initially 0. External 10 kOhm pull-down on each PWM line.</t>
        </is>
      </c>
      <c r="D22" s="277" t="inlineStr">
        <is>
          <t>Chosen servo family accepts 50 Hz and uses approximately 500-2500 us pulse widths.</t>
        </is>
      </c>
      <c r="E22" s="277" t="inlineStr">
        <is>
          <t>IMPLEMENTED</t>
        </is>
      </c>
      <c r="F22" s="277" t="inlineStr">
        <is>
          <t>Set CCR pulse widths in firmware; do not change timer base unless servo requirements change.</t>
        </is>
      </c>
      <c r="G22" s="278" t="inlineStr">
        <is>
          <t>See Servo Specification / Timer Configuration</t>
        </is>
      </c>
    </row>
    <row r="23" ht="62" customHeight="1" s="58">
      <c r="A23" s="277" t="inlineStr">
        <is>
          <t>Solenoid control</t>
        </is>
      </c>
      <c r="B23" s="277" t="inlineStr">
        <is>
          <t>PA12 = SOL_GPIO, push-pull, initial LOW, no internal pull, low speed. Signal exits through the offboard STM connector.</t>
        </is>
      </c>
      <c r="C23" s="277" t="inlineStr">
        <is>
          <t>Actual 12 V solenoid current is switched by an external MOSFET circuit; STM32 pin carries gate-control current only.</t>
        </is>
      </c>
      <c r="D23" s="277" t="inlineStr">
        <is>
          <t>Keeps the high-current valve path off the MCU and main logic wiring.</t>
        </is>
      </c>
      <c r="E23" s="277" t="inlineStr">
        <is>
          <t>IMPLEMENTED</t>
        </is>
      </c>
      <c r="F23" s="277" t="inlineStr">
        <is>
          <t>External driver should include a proper flyback diode and a MOSFET characterized at 3.3 V gate drive (or a gate driver).</t>
        </is>
      </c>
      <c r="G23" s="279" t="inlineStr">
        <is>
          <t>See GPIO Configuration / Schematic Review</t>
        </is>
      </c>
    </row>
    <row r="24" ht="62" customHeight="1" s="58">
      <c r="A24" s="277" t="inlineStr">
        <is>
          <t>Reserved UART</t>
        </is>
      </c>
      <c r="B24" s="277" t="inlineStr">
        <is>
          <t>PB3/PB4 intentionally remain available for USART2 TX/RX to the offboard STM if needed later.</t>
        </is>
      </c>
      <c r="C24" s="277" t="inlineStr">
        <is>
          <t>Not enabled in CubeMX now.</t>
        </is>
      </c>
      <c r="D24" s="277" t="inlineStr">
        <is>
          <t>Preserves expansion without consuming pins or firmware complexity before it is required.</t>
        </is>
      </c>
      <c r="E24" s="277" t="inlineStr">
        <is>
          <t>RESERVED / NOT IMPLEMENTED</t>
        </is>
      </c>
      <c r="F24" s="277" t="inlineStr">
        <is>
          <t>Do not allocate PB3/PB4 to another function unless this reserve is intentionally abandoned.</t>
        </is>
      </c>
      <c r="G24" s="278" t="inlineStr">
        <is>
          <t>See Peripheral Plan</t>
        </is>
      </c>
    </row>
    <row r="26" ht="22" customHeight="1" s="58">
      <c r="A26" s="271" t="inlineStr">
        <is>
          <t>POWER CIRCUITS / SCHEMATIC DECISIONS</t>
        </is>
      </c>
      <c r="B26" s="227" t="n"/>
      <c r="C26" s="227" t="n"/>
      <c r="D26" s="227" t="n"/>
      <c r="E26" s="227" t="n"/>
      <c r="F26" s="227" t="n"/>
      <c r="G26" s="227" t="n"/>
    </row>
    <row r="27" ht="62" customHeight="1" s="58">
      <c r="A27" s="277" t="inlineStr">
        <is>
          <t>LMR51450 12 V -&gt; 5 V buck</t>
        </is>
      </c>
      <c r="B27" s="277" t="inlineStr">
        <is>
          <t>LMR51450FSQDRRRQ1. C1/C2=4.7 uF input, C3=100 nF high-frequency input bypass, C6=100 nF bootstrap, L1=4.7 uH, C8/C9=33 uF output, R2=100 kOhm, R3=19.1 kOhm, R1=1 kOhm, C7=33 pF. RT open -&gt; 500 kHz.</t>
        </is>
      </c>
      <c r="C27" s="277" t="inlineStr">
        <is>
          <t>The 5 V output node is after L1. The feed-forward R1/C7 branch is not the power output node.</t>
        </is>
      </c>
      <c r="D27" s="277" t="inlineStr">
        <is>
          <t>These values follow the adopted TI example and the schematic wiring error was already corrected.</t>
        </is>
      </c>
      <c r="E27" s="277" t="inlineStr">
        <is>
          <t>SCHEMATIC CONFIRMED</t>
        </is>
      </c>
      <c r="F27" s="277" t="inlineStr">
        <is>
          <t>During layout: CIN and PGND loop must be tiny; SW copper small; output caps immediately after L1; FB samples quiet 5 V output.</t>
        </is>
      </c>
      <c r="G27" s="278" t="inlineStr">
        <is>
          <t>https://www.ti.com/lit/ds/symlink/lmr51450.pdf</t>
        </is>
      </c>
    </row>
    <row r="28" ht="62" customHeight="1" s="58">
      <c r="A28" s="277" t="inlineStr">
        <is>
          <t>TLV70033 5 V -&gt; 3.3 V LDO</t>
        </is>
      </c>
      <c r="B28" s="277" t="inlineStr">
        <is>
          <t>TLV70033DDCR with 1 uF input C4 and 1 uF output C5; EN tied high to 5 V for always-on operation.</t>
        </is>
      </c>
      <c r="C28" s="277" t="inlineStr">
        <is>
          <t>3.3 V powers the onboard STM32 and MCU support circuitry.</t>
        </is>
      </c>
      <c r="D28" s="277" t="inlineStr">
        <is>
          <t>Simple low-current local regulation from the 5 V rail.</t>
        </is>
      </c>
      <c r="E28" s="277" t="inlineStr">
        <is>
          <t>SCHEMATIC CONFIRMED</t>
        </is>
      </c>
      <c r="F28" s="277" t="inlineStr">
        <is>
          <t>Place input/output capacitors close to the LDO pins.</t>
        </is>
      </c>
      <c r="G28" s="279" t="inlineStr">
        <is>
          <t>See Schematic Review</t>
        </is>
      </c>
    </row>
    <row r="29" ht="62" customHeight="1" s="58">
      <c r="A29" s="277" t="inlineStr">
        <is>
          <t>NSR020A0X43Z 12 V -&gt; 6 V</t>
        </is>
      </c>
      <c r="B29" s="277" t="inlineStr">
        <is>
          <t>6 V / high-current module for six servos. C10/C11=22 uF input. R4 should be 219 Ohm for 6.0 V. C12 changed from 470 uF to 220 uF because the module allows &lt;=300 uF external C without Tunable Loop.</t>
        </is>
      </c>
      <c r="C29" s="277" t="inlineStr">
        <is>
          <t>Sense+ returns to Vout and Sense- to GND as Kelvin/local sense; do not use these traces for load current.</t>
        </is>
      </c>
      <c r="D29" s="277" t="inlineStr">
        <is>
          <t>Six servos can theoretically draw about 12.6 A total at 6 V stall (6 x 2.1 A at 6 V).</t>
        </is>
      </c>
      <c r="E29" s="277" t="inlineStr">
        <is>
          <t>SCHEMATIC CONFIRMED</t>
        </is>
      </c>
      <c r="F29" s="277" t="inlineStr">
        <is>
          <t>Route 6 V and GND as high-current copper and keep C10/C11 close to the module input pins.</t>
        </is>
      </c>
      <c r="G29" s="278" t="inlineStr">
        <is>
          <t>See Schematic Review / Power Budget</t>
        </is>
      </c>
    </row>
    <row r="30" ht="62" customHeight="1" s="58">
      <c r="A30" s="277" t="inlineStr">
        <is>
          <t>STM32 decoupling / reset</t>
        </is>
      </c>
      <c r="B30" s="277" t="inlineStr">
        <is>
          <t>Digital VDD: three 100 nF local caps (one per VDD pin) plus 10 uF local bulk. VDDA: 1 uF + 10 nF. VREF+: 1 uF + 100 nF. VBAT tied to 3.3 V with 100 nF. NRST has 100 nF to GND. PB8/BOOT0 has 10 kOhm pull-down.</t>
        </is>
      </c>
      <c r="C30" s="277" t="inlineStr">
        <is>
          <t>VDDA is directly tied to 3.3 V; no ferrite bead is planned. VSSA uses the solid ground system.</t>
        </is>
      </c>
      <c r="D30" s="277" t="inlineStr">
        <is>
          <t>These values were corrected during schematic review and should not be reverted to older 1 uF-per-VDD values.</t>
        </is>
      </c>
      <c r="E30" s="277" t="inlineStr">
        <is>
          <t>SCHEMATIC CONFIRMED</t>
        </is>
      </c>
      <c r="F30" s="277" t="inlineStr">
        <is>
          <t>Place each decoupler beside its corresponding MCU supply/ground pins with very short GND vias into L2.</t>
        </is>
      </c>
      <c r="G30" s="279" t="inlineStr">
        <is>
          <t>See Power &amp; Reset / Schematic Review</t>
        </is>
      </c>
    </row>
    <row r="31" ht="62" customHeight="1" s="58">
      <c r="A31" s="277" t="inlineStr">
        <is>
          <t>Solenoid driver assumption</t>
        </is>
      </c>
      <c r="B31" s="277" t="inlineStr">
        <is>
          <t>External circuit is a low-side MOSFET driver. The 12 V, 20 W valve current is about 1.67 A. Flyback diode is required across the coil.</t>
        </is>
      </c>
      <c r="C31" s="277" t="inlineStr">
        <is>
          <t>Existing example used IRLZ44N and 1N4001, but final MOSFET/diode selection was delegated and should not be treated as final.</t>
        </is>
      </c>
      <c r="D31" s="277" t="inlineStr">
        <is>
          <t>IRLZ44N is not specified with RDS(on) at 3.3 V gate; a stronger flyback diode than 1N4001 was recommended.</t>
        </is>
      </c>
      <c r="E31" s="277" t="inlineStr">
        <is>
          <t>OPEN COMPONENT SELECTION</t>
        </is>
      </c>
      <c r="F31" s="277" t="inlineStr">
        <is>
          <t>Do not silently finalize the external MOSFET/diode without confirming with the user/team.</t>
        </is>
      </c>
      <c r="G31" s="278" t="inlineStr">
        <is>
          <t>See Schematic Review / project conversation</t>
        </is>
      </c>
    </row>
    <row r="33" ht="22" customHeight="1" s="58">
      <c r="A33" s="271" t="inlineStr">
        <is>
          <t>CONNECTORS / LOADS</t>
        </is>
      </c>
      <c r="B33" s="227" t="n"/>
      <c r="C33" s="227" t="n"/>
      <c r="D33" s="227" t="n"/>
      <c r="E33" s="227" t="n"/>
      <c r="F33" s="227" t="n"/>
      <c r="G33" s="227" t="n"/>
    </row>
    <row r="34" ht="62" customHeight="1" s="58">
      <c r="A34" s="277" t="inlineStr">
        <is>
          <t>BTS7960 interfaces</t>
        </is>
      </c>
      <c r="B34" s="277" t="inlineStr">
        <is>
          <t>Three BTS7960 motor-driver modules: accelerator, brake, steering. Logic uses two PWM + two EN per driver. Driver logic accepts 3.3-5 V control and PWM up to 25 kHz.</t>
        </is>
      </c>
      <c r="C34" s="277" t="inlineStr">
        <is>
          <t>Brake and steering motor power are 12 V branches; accelerator motor power is a separate 24 V branch outside the PCB 12 V converter path.</t>
        </is>
      </c>
      <c r="D34" s="277" t="inlineStr">
        <is>
          <t>Prevents accidentally sizing the PCB input for accelerator motor current.</t>
        </is>
      </c>
      <c r="E34" s="277" t="inlineStr">
        <is>
          <t>CONFIRMED</t>
        </is>
      </c>
      <c r="F34" s="277" t="inlineStr">
        <is>
          <t>Final wire/contact sizing still depends on actual harness lengths and load-current details.</t>
        </is>
      </c>
      <c r="G34" s="278" t="inlineStr">
        <is>
          <t>See Connector BOM / Power Budget</t>
        </is>
      </c>
    </row>
    <row r="35" ht="62" customHeight="1" s="58">
      <c r="A35" s="277" t="inlineStr">
        <is>
          <t>Pump / solenoid / modem connector</t>
        </is>
      </c>
      <c r="B35" s="277" t="inlineStr">
        <is>
          <t>One 6-pin Mini-Fit connector carries three dedicated pairs: Pump +12/GND, Solenoid-driver +12/GND, Modem +12/GND.</t>
        </is>
      </c>
      <c r="C35" s="277" t="inlineStr">
        <is>
          <t>Do not share one return contact between the pump and modem/solenoid. SOL_GPIO is on the offboard STM connector instead.</t>
        </is>
      </c>
      <c r="D35" s="277" t="inlineStr">
        <is>
          <t>Dedicated returns avoid concentrating pump + modem current in a single GND contact.</t>
        </is>
      </c>
      <c r="E35" s="277" t="inlineStr">
        <is>
          <t>CONFIRMED</t>
        </is>
      </c>
      <c r="F35" s="277" t="inlineStr">
        <is>
          <t>Pump is currently treated as powered from this branch; MCU switching of the pump is NOT assumed.</t>
        </is>
      </c>
      <c r="G35" s="279" t="inlineStr">
        <is>
          <t>See Connector BOM / Power Budget</t>
        </is>
      </c>
    </row>
    <row r="36" ht="62" customHeight="1" s="58">
      <c r="A36" s="277" t="inlineStr">
        <is>
          <t>Known loads</t>
        </is>
      </c>
      <c r="B36" s="277" t="inlineStr">
        <is>
          <t>Pump: bayite BYT-7A108, 12 V, 60 W (~5 A nominal). Solenoid: U.S. Solid USS2-00006, 12 V, 20 W (~1.67 A). Brake actuator PA-07: ~0.24 A full load. Steering actuator LACT6P-12V-05/LD family: ~1.2-3.2 A rated, ~7 A stall.</t>
        </is>
      </c>
      <c r="C36" s="277" t="inlineStr">
        <is>
          <t>These values are used for branch sizing and power budgeting.</t>
        </is>
      </c>
      <c r="D36" s="277" t="inlineStr">
        <is>
          <t>Startup/stall transients matter more than only nominal current for branch copper and connector choice.</t>
        </is>
      </c>
      <c r="E36" s="277" t="inlineStr">
        <is>
          <t>KNOWN / SOME TRANSIENTS OPEN</t>
        </is>
      </c>
      <c r="F36" s="277" t="inlineStr">
        <is>
          <t>Pump startup current and accelerator motor current/part number still need confirmation for final harness/fuse sizing.</t>
        </is>
      </c>
      <c r="G36" s="278" t="inlineStr">
        <is>
          <t>See Power Budget</t>
        </is>
      </c>
    </row>
    <row r="37" ht="62" customHeight="1" s="58">
      <c r="A37" s="277" t="inlineStr">
        <is>
          <t>Servo connectors</t>
        </is>
      </c>
      <c r="B37" s="277" t="inlineStr">
        <is>
          <t>Three 6-pin Micro-Fit headers, each serving two servos. Each servo gets its own 6 V, GND, and PWM connection.</t>
        </is>
      </c>
      <c r="C37" s="277" t="inlineStr">
        <is>
          <t>Six servos total; use dedicated power/ground conductors per servo rather than combining high current in a single small contact.</t>
        </is>
      </c>
      <c r="D37" s="277" t="inlineStr">
        <is>
          <t>Servo stall current can dominate the 6 V rail transient load.</t>
        </is>
      </c>
      <c r="E37" s="277" t="inlineStr">
        <is>
          <t>CONFIRMED</t>
        </is>
      </c>
      <c r="F37" s="277" t="inlineStr">
        <is>
          <t>Final crimp terminal and wire gauge purchase is intentionally deferred until harness lengths are measured.</t>
        </is>
      </c>
      <c r="G37" s="279" t="inlineStr">
        <is>
          <t>See Connector BOM / Servo Specification</t>
        </is>
      </c>
    </row>
    <row r="39" ht="22" customHeight="1" s="58">
      <c r="A39" s="271" t="inlineStr">
        <is>
          <t>PCB STACKUP / FABRICATION RULES</t>
        </is>
      </c>
      <c r="B39" s="227" t="n"/>
      <c r="C39" s="227" t="n"/>
      <c r="D39" s="227" t="n"/>
      <c r="E39" s="227" t="n"/>
      <c r="F39" s="227" t="n"/>
      <c r="G39" s="227" t="n"/>
    </row>
    <row r="40" ht="62" customHeight="1" s="58">
      <c r="A40" s="277" t="inlineStr">
        <is>
          <t>Fabricator</t>
        </is>
      </c>
      <c r="B40" s="277" t="inlineStr">
        <is>
          <t>JLCPCB.</t>
        </is>
      </c>
      <c r="C40" s="277" t="inlineStr">
        <is>
          <t>Current board is being designed to JLCPCB capabilities rather than absolute minimum-feature routing.</t>
        </is>
      </c>
      <c r="D40" s="277" t="inlineStr">
        <is>
          <t>Use manufacturable margin; do not design at published fabrication limits unless needed.</t>
        </is>
      </c>
      <c r="E40" s="277" t="inlineStr">
        <is>
          <t>CONFIRMED</t>
        </is>
      </c>
      <c r="F40" s="277" t="inlineStr">
        <is>
          <t>Before ordering, reconcile the Altium dielectric values with the exact JLC stackup selected in the order form.</t>
        </is>
      </c>
      <c r="G40" s="278" t="inlineStr">
        <is>
          <t>https://jlcpcb.com/capabilities/pcb-capabilities</t>
        </is>
      </c>
    </row>
    <row r="41" ht="62" customHeight="1" s="58">
      <c r="A41" s="277" t="inlineStr">
        <is>
          <t>4-layer stackup</t>
        </is>
      </c>
      <c r="B41" s="277" t="inlineStr">
        <is>
          <t>L1 Top Signal/Power = 2 oz; L2 solid GND reference = 1 oz; L3 Power/Signal = 1 oz; L4 Bottom Signal/Power = 2 oz. Target finished thickness ~1.6 mm.</t>
        </is>
      </c>
      <c r="C41" s="277" t="inlineStr">
        <is>
          <t>Approximate design dielectric targets: ~0.18 mm prepreg / ~1.0 mm core / ~0.18 mm prepreg; these are placeholders until the exact JLC production stack is selected.</t>
        </is>
      </c>
      <c r="D41" s="277" t="inlineStr">
        <is>
          <t>Thin outer dielectrics keep L1 close to L2 and L4 close to L3 while most mechanical thickness sits in the center core.</t>
        </is>
      </c>
      <c r="E41" s="277" t="inlineStr">
        <is>
          <t>IMPLEMENTED IN ALTIUM</t>
        </is>
      </c>
      <c r="F41" s="277" t="inlineStr">
        <is>
          <t>Keep L2 as uninterrupted GND as much as practical.</t>
        </is>
      </c>
      <c r="G41" s="279" t="inlineStr">
        <is>
          <t>See PCB Rules</t>
        </is>
      </c>
    </row>
    <row r="42" ht="62" customHeight="1" s="58">
      <c r="A42" s="277" t="inlineStr">
        <is>
          <t>Baseline Altium rules actually implemented</t>
        </is>
      </c>
      <c r="B42" s="277" t="inlineStr">
        <is>
          <t>Clearance = 0.20 mm. General width = 0.20 / 0.25 / 0.50 mm min/preferred/max. General via = 0.60 mm pad / 0.30 mm drill. Board-edge clearance = 0.30 mm. Hole-size / hole-to-hole manufacturing limits also entered.</t>
        </is>
      </c>
      <c r="C42" s="277" t="inlineStr">
        <is>
          <t>These are the baseline rules the user confirmed implementing.</t>
        </is>
      </c>
      <c r="D42" s="277" t="inlineStr">
        <is>
          <t>Do not assume the more advanced optional net-specific rules were created; they were discussed but intentionally deferred.</t>
        </is>
      </c>
      <c r="E42" s="277" t="inlineStr">
        <is>
          <t>IMPLEMENTED</t>
        </is>
      </c>
      <c r="F42" s="277" t="inlineStr">
        <is>
          <t>Add more specific rules only when they are actually adopted.</t>
        </is>
      </c>
      <c r="G42" s="278" t="inlineStr">
        <is>
          <t>See PCB Rules</t>
        </is>
      </c>
    </row>
    <row r="43" ht="62" customHeight="1" s="58">
      <c r="A43" s="277" t="inlineStr">
        <is>
          <t>Ground strategy</t>
        </is>
      </c>
      <c r="B43" s="277" t="inlineStr">
        <is>
          <t>L2 is the dedicated solid ground reference. Normal decoupling/signal GND vias can remain ~0.60/0.30 mm; high-current returns should use larger and/or multiple vias.</t>
        </is>
      </c>
      <c r="C43" s="277" t="inlineStr">
        <is>
          <t>For switcher decoupling, via proximity and loop area are often more important than simply using one very large via.</t>
        </is>
      </c>
      <c r="D43" s="277" t="inlineStr">
        <is>
          <t>Use multiple vias to reduce effective resistance/inductance and spread current into L2.</t>
        </is>
      </c>
      <c r="E43" s="277" t="inlineStr">
        <is>
          <t>CONFIRMED LAYOUT PRACTICE</t>
        </is>
      </c>
      <c r="F43" s="277" t="inlineStr">
        <is>
          <t>Add GND vias directly beside C3, C1/C2, C8/C9, MCU decouplers, and other high-current return points.</t>
        </is>
      </c>
      <c r="G43" s="279" t="inlineStr">
        <is>
          <t>See PCB Rules / layout notes</t>
        </is>
      </c>
    </row>
    <row r="45" ht="22" customHeight="1" s="58">
      <c r="A45" s="271" t="inlineStr">
        <is>
          <t>CURRENT PCB LAYOUT STATUS</t>
        </is>
      </c>
      <c r="B45" s="227" t="n"/>
      <c r="C45" s="227" t="n"/>
      <c r="D45" s="227" t="n"/>
      <c r="E45" s="227" t="n"/>
      <c r="F45" s="227" t="n"/>
      <c r="G45" s="227" t="n"/>
    </row>
    <row r="46" ht="62" customHeight="1" s="58">
      <c r="A46" s="277" t="inlineStr">
        <is>
          <t>Placement stage</t>
        </is>
      </c>
      <c r="B46" s="277" t="inlineStr">
        <is>
          <t>All major components/connectors have been placed in an initial board arrangement. Routing has started with the LMR51450 buck/power paths first.</t>
        </is>
      </c>
      <c r="C46" s="277" t="inlineStr">
        <is>
          <t>User is intentionally validating power-stage layout before routing the rest of the board.</t>
        </is>
      </c>
      <c r="D46" s="277" t="inlineStr">
        <is>
          <t>This is the correct time to fix placement because switcher/decoupling geometry is much harder to repair after dense routing.</t>
        </is>
      </c>
      <c r="E46" s="277" t="inlineStr">
        <is>
          <t>IN PROGRESS</t>
        </is>
      </c>
      <c r="F46" s="277" t="inlineStr">
        <is>
          <t>Review power stages and ground returns before general signal routing.</t>
        </is>
      </c>
      <c r="G46" s="278" t="inlineStr">
        <is>
          <t>Current project state</t>
        </is>
      </c>
    </row>
    <row r="47" ht="62" customHeight="1" s="58">
      <c r="A47" s="277" t="inlineStr">
        <is>
          <t>12 V routing implemented</t>
        </is>
      </c>
      <c r="B47" s="277" t="inlineStr">
        <is>
          <t>Large 12 V polygon/pour is used for shared distribution. Individual 12 V branch traces near the lower-left area were increased to 2 mm. The buck input polygon extends close to the input capacitors/VIN, with an unavoidable short neck at the IC pins made as wide as geometry allows.</t>
        </is>
      </c>
      <c r="C47" s="277" t="inlineStr">
        <is>
          <t>A short pad-width neck at VIN is acceptable; a long narrow 12 V neck is not. The full-board/high-current trunk should remain polygon copper rather than a 2 mm track.</t>
        </is>
      </c>
      <c r="D47" s="277" t="inlineStr">
        <is>
          <t>LMR51450 worst-case input current at 5 V/5 A output is only a few amps, so 2 mm is generous for its individual 12 V branch on 2 oz copper.</t>
        </is>
      </c>
      <c r="E47" s="277" t="inlineStr">
        <is>
          <t>IMPLEMENTED / ACCEPTABLE</t>
        </is>
      </c>
      <c r="F47" s="277" t="inlineStr">
        <is>
          <t>Watch for thermal-relief spokes or narrow polygon necks that become the real bottleneck.</t>
        </is>
      </c>
      <c r="G47" s="279" t="inlineStr">
        <is>
          <t>Current layout discussion</t>
        </is>
      </c>
    </row>
    <row r="48" ht="62" customHeight="1" s="58">
      <c r="A48" s="277" t="inlineStr">
        <is>
          <t>5 V routing</t>
        </is>
      </c>
      <c r="B48" s="277" t="inlineStr">
        <is>
          <t>A 5 V polygon has been created. Earlier 5 V track segments were 0.254 mm.</t>
        </is>
      </c>
      <c r="C48" s="277" t="inlineStr">
        <is>
          <t>0.254 mm is fine for low-current logic branches but is too small for the main combined 5 V power path from the LMR51450 if it can carry multi-amp current.</t>
        </is>
      </c>
      <c r="D48" s="277" t="inlineStr">
        <is>
          <t>Main power trunk should be wider/polygon; branches can narrow after current splits.</t>
        </is>
      </c>
      <c r="E48" s="277" t="inlineStr">
        <is>
          <t>PENDING REVIEW</t>
        </is>
      </c>
      <c r="F48" s="277" t="inlineStr">
        <is>
          <t>Revisit main 5 V output/distribution width before finalizing the buck routing.</t>
        </is>
      </c>
      <c r="G48" s="278" t="inlineStr">
        <is>
          <t>Current layout discussion</t>
        </is>
      </c>
    </row>
    <row r="49" ht="62" customHeight="1" s="58">
      <c r="A49" s="277" t="inlineStr">
        <is>
          <t>LMR51450 placement/layout intent</t>
        </is>
      </c>
      <c r="B49" s="277" t="inlineStr">
        <is>
          <t>Input flow should be 12 V polygon -&gt; C1/C2 -&gt; C3 -&gt; VIN, with C3 the closest high-frequency bypass. SW -&gt; L1 must be very short. L1 output -&gt; C8/C9 -&gt; 5 V. FB must sample the quiet output side and stay away from SW/BOOT.</t>
        </is>
      </c>
      <c r="C49" s="277" t="inlineStr">
        <is>
          <t>Compass orientation does not matter; preserving the small input switching loop and compact output path does.</t>
        </is>
      </c>
      <c r="D49" s="277" t="inlineStr">
        <is>
          <t>The datasheet layout example is being followed by topology/geometry, not copied literally.</t>
        </is>
      </c>
      <c r="E49" s="277" t="inlineStr">
        <is>
          <t>IN PROGRESS</t>
        </is>
      </c>
      <c r="F49" s="277" t="inlineStr">
        <is>
          <t>Finish GND via/return layout before leaving the buck area.</t>
        </is>
      </c>
      <c r="G49" s="279" t="inlineStr">
        <is>
          <t>https://www.ti.com/lit/ds/symlink/lmr51450.pdf</t>
        </is>
      </c>
    </row>
    <row r="50" ht="62" customHeight="1" s="58">
      <c r="A50" s="277" t="inlineStr">
        <is>
          <t>SW / BOOT copper</t>
        </is>
      </c>
      <c r="B50" s="277" t="inlineStr">
        <is>
          <t>Do not use a large SW polygon. Use a small solid region or short/wide copper only between U1 SW pins, the SW-side inductor pad, and the relevant side of CBOOT. BOOT itself should be a short normal trace, not a large polygon.</t>
        </is>
      </c>
      <c r="C50" s="277" t="inlineStr">
        <is>
          <t>The SW node has high dV/dt; excess copper increases parasitic capacitance and EMI. BOOT is a small local switching node and should remain compact.</t>
        </is>
      </c>
      <c r="D50" s="277" t="inlineStr">
        <is>
          <t>Large VIN and VOUT copper is beneficial; large SW copper is not.</t>
        </is>
      </c>
      <c r="E50" s="277" t="inlineStr">
        <is>
          <t>RECOMMENDATION CURRENTLY BEING IMPLEMENTED</t>
        </is>
      </c>
      <c r="F50" s="277" t="inlineStr">
        <is>
          <t>Shrink any SW region that extends beyond the minimum connection area.</t>
        </is>
      </c>
      <c r="G50" s="278" t="inlineStr">
        <is>
          <t>LMR51450 datasheet layout guidance</t>
        </is>
      </c>
    </row>
    <row r="51" ht="62" customHeight="1" s="58">
      <c r="A51" s="277" t="inlineStr">
        <is>
          <t>Polygon repour behavior</t>
        </is>
      </c>
      <c r="B51" s="277" t="inlineStr">
        <is>
          <t>After moving/adding vias inside polygons, repour all polygons. A previous screen full of green X clearance markers disappeared after repouring.</t>
        </is>
      </c>
      <c r="C51" s="277" t="inlineStr">
        <is>
          <t>Altium can keep stale poured copper until the polygon is repoured, making a correctly placed via appear to violate clearance everywhere it is moved.</t>
        </is>
      </c>
      <c r="D51" s="277" t="inlineStr">
        <is>
          <t>This was already encountered and resolved once.</t>
        </is>
      </c>
      <c r="E51" s="277" t="inlineStr">
        <is>
          <t>KNOWN ALTIUM WORKFLOW</t>
        </is>
      </c>
      <c r="F51" s="277" t="inlineStr">
        <is>
          <t>Use Tools -&gt; Polygon Pours -&gt; Repour All after relevant geometry changes.</t>
        </is>
      </c>
      <c r="G51" s="279" t="inlineStr">
        <is>
          <t>Current layout troubleshooting</t>
        </is>
      </c>
    </row>
    <row r="52" ht="62" customHeight="1" s="58">
      <c r="A52" s="277" t="inlineStr">
        <is>
          <t>STM32 signal-via/routing issue</t>
        </is>
      </c>
      <c r="B52" s="277" t="inlineStr">
        <is>
          <t>Signal vias around the STM32 are not inherently too close when placed with legal clearance. If the interactive router still refuses to connect a via to an MCU pad or shows &lt;0.254 mm markers, verify which clearance rule is actually active between those objects.</t>
        </is>
      </c>
      <c r="C52" s="277" t="inlineStr">
        <is>
          <t>The user confirmed the minimum annular ring is 0.15 mm, so that specific rule is not the cause. The final 0.254 mm router/clearance issue was not yet confirmed resolved.</t>
        </is>
      </c>
      <c r="D52" s="277" t="inlineStr">
        <is>
          <t>Do not keep moving vias outward without first identifying the active rule/constraint.</t>
        </is>
      </c>
      <c r="E52" s="277" t="inlineStr">
        <is>
          <t>OPEN TROUBLESHOOTING ITEM</t>
        </is>
      </c>
      <c r="F52" s="277" t="inlineStr">
        <is>
          <t>If it recurs, inspect Applicable Binary Rules / DRC and the clearance-rule priority, then repour polygons.</t>
        </is>
      </c>
      <c r="G52" s="278" t="inlineStr">
        <is>
          <t>Current layout troubleshooting</t>
        </is>
      </c>
    </row>
    <row r="54" ht="22" customHeight="1" s="58">
      <c r="A54" s="271" t="inlineStr">
        <is>
          <t>IMPORTANT OPEN ITEMS / DO NOT ASSUME</t>
        </is>
      </c>
      <c r="B54" s="227" t="n"/>
      <c r="C54" s="227" t="n"/>
      <c r="D54" s="227" t="n"/>
      <c r="E54" s="227" t="n"/>
      <c r="F54" s="227" t="n"/>
      <c r="G54" s="227" t="n"/>
    </row>
    <row r="55" ht="62" customHeight="1" s="58">
      <c r="A55" s="277" t="inlineStr">
        <is>
          <t>Harness wire/crimps</t>
        </is>
      </c>
      <c r="B55" s="277" t="inlineStr">
        <is>
          <t>Final wire gauges, crimp contacts, and harness lengths have not been purchased/finalized.</t>
        </is>
      </c>
      <c r="C55" s="277" t="inlineStr">
        <is>
          <t>User explicitly wants to wait until physical lengths are known.</t>
        </is>
      </c>
      <c r="D55" s="277" t="inlineStr">
        <is>
          <t>Wire voltage drop depends on one-way length and actual load current.</t>
        </is>
      </c>
      <c r="E55" s="277" t="inlineStr">
        <is>
          <t>OPEN</t>
        </is>
      </c>
      <c r="F55" s="277" t="inlineStr">
        <is>
          <t>Do not push a final wire/contact order until lengths are available.</t>
        </is>
      </c>
      <c r="G55" s="278" t="inlineStr">
        <is>
          <t>Connector BOM / project conversation</t>
        </is>
      </c>
    </row>
    <row r="56" ht="62" customHeight="1" s="58">
      <c r="A56" s="277" t="inlineStr">
        <is>
          <t>Accelerator motor</t>
        </is>
      </c>
      <c r="B56" s="277" t="inlineStr">
        <is>
          <t>Accelerator motor is on the 24 V branch and its exact motor part/current still needs confirmation.</t>
        </is>
      </c>
      <c r="C56" s="277" t="inlineStr">
        <is>
          <t>This value is needed for final branch fuse/wire/BTS current validation.</t>
        </is>
      </c>
      <c r="D56" s="277" t="inlineStr">
        <is>
          <t>Do not include accelerator current in the PCB 12 V input budget.</t>
        </is>
      </c>
      <c r="E56" s="277" t="inlineStr">
        <is>
          <t>OPEN</t>
        </is>
      </c>
      <c r="F56" s="277" t="inlineStr">
        <is>
          <t>Request the accelerator motor part number/spec when finalizing the 24 V branch.</t>
        </is>
      </c>
      <c r="G56" s="279" t="inlineStr">
        <is>
          <t>Power Budget</t>
        </is>
      </c>
    </row>
    <row r="57" ht="62" customHeight="1" s="58">
      <c r="A57" s="277" t="inlineStr">
        <is>
          <t>Pump control</t>
        </is>
      </c>
      <c r="B57" s="277" t="inlineStr">
        <is>
          <t>Pump is currently treated as a 12 V powered load. It has NOT been confirmed that the STM32 must switch it.</t>
        </is>
      </c>
      <c r="C57" s="277" t="inlineStr">
        <is>
          <t>If MCU control is later required, it needs a separate PUMP_GPIO and a switch channel sized for ~5 A plus startup current.</t>
        </is>
      </c>
      <c r="D57" s="277" t="inlineStr">
        <is>
          <t>Do not assume the existing solenoid MOSFET channel also switches the pump.</t>
        </is>
      </c>
      <c r="E57" s="277" t="inlineStr">
        <is>
          <t>OPEN / REQUIREMENT NOT CONFIRMED</t>
        </is>
      </c>
      <c r="F57" s="277" t="inlineStr">
        <is>
          <t>Ask only when pump control becomes part of the required behavior.</t>
        </is>
      </c>
      <c r="G57" s="278" t="inlineStr">
        <is>
          <t>Project conversation</t>
        </is>
      </c>
    </row>
    <row r="58" ht="62" customHeight="1" s="58">
      <c r="A58" s="277" t="inlineStr">
        <is>
          <t>Exact JLC production stackup</t>
        </is>
      </c>
      <c r="B58" s="277" t="inlineStr">
        <is>
          <t>The 0.18 / 1.0 / 0.18 mm dielectric numbers are design placeholders, not a locked JLC production stack.</t>
        </is>
      </c>
      <c r="C58" s="277" t="inlineStr">
        <is>
          <t>The actual material/thickness values should come from the exact 4-layer, 1.6 mm, 2 oz outer option selected at order time.</t>
        </is>
      </c>
      <c r="D58" s="277" t="inlineStr">
        <is>
          <t>Do not treat the approximate Altium dielectric values as fabrication-controlled numbers.</t>
        </is>
      </c>
      <c r="E58" s="277" t="inlineStr">
        <is>
          <t>OPEN UNTIL ORDER</t>
        </is>
      </c>
      <c r="F58" s="277" t="inlineStr">
        <is>
          <t>Update Altium stackup to the manufacturer-selected stack before final release if needed.</t>
        </is>
      </c>
      <c r="G58" s="279" t="inlineStr">
        <is>
          <t>https://jlcpcb.com/capabilities/pcb-capabilities</t>
        </is>
      </c>
    </row>
    <row r="60" ht="36" customHeight="1" s="58">
      <c r="A60" s="271" t="inlineStr">
        <is>
          <t>Detailed authoritative data remains in the dedicated sheets (Pin Configuration / Timer Configuration / Schematic Review / Power Budget / Connector BOM / PCB Rules). This handoff is the high-level continuity map, not a replacement for those tables.</t>
        </is>
      </c>
      <c r="B60" s="227" t="n"/>
      <c r="C60" s="227" t="n"/>
      <c r="D60" s="227" t="n"/>
      <c r="E60" s="227" t="n"/>
      <c r="F60" s="227" t="n"/>
      <c r="G60" s="227" t="n"/>
    </row>
  </sheetData>
  <autoFilter ref="A4:G59"/>
  <mergeCells count="11">
    <mergeCell ref="A1:G1"/>
    <mergeCell ref="A9:G9"/>
    <mergeCell ref="A45:G45"/>
    <mergeCell ref="A39:G39"/>
    <mergeCell ref="A26:G26"/>
    <mergeCell ref="A2:G2"/>
    <mergeCell ref="A54:G54"/>
    <mergeCell ref="A15:G15"/>
    <mergeCell ref="A60:G60"/>
    <mergeCell ref="A33:G33"/>
    <mergeCell ref="A5:G5"/>
  </mergeCells>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cols>
    <col width="24" customWidth="1" style="58" min="1" max="1"/>
    <col width="24" customWidth="1" style="58" min="2" max="2"/>
    <col width="24" customWidth="1" style="58" min="4" max="4"/>
    <col width="14" customWidth="1" style="58" min="5" max="5"/>
    <col width="52" customWidth="1" style="58" min="6" max="6"/>
  </cols>
  <sheetData>
    <row r="1">
      <c r="A1" s="226" t="inlineStr">
        <is>
          <t>STM32G474CBT6TR CubeMX Configuration Tracker</t>
        </is>
      </c>
      <c r="B1" s="227" t="n"/>
      <c r="C1" s="227" t="n"/>
      <c r="D1" s="227" t="n"/>
      <c r="E1" s="227" t="n"/>
      <c r="F1" s="227" t="n"/>
      <c r="G1" s="50" t="n"/>
      <c r="H1" s="50" t="n"/>
      <c r="I1" s="50" t="n"/>
      <c r="J1" s="50" t="n"/>
      <c r="K1" s="50" t="n"/>
    </row>
    <row r="2">
      <c r="A2" s="50" t="n"/>
      <c r="B2" s="50" t="n"/>
      <c r="C2" s="50" t="n"/>
      <c r="D2" s="50" t="n"/>
      <c r="E2" s="50" t="n"/>
      <c r="F2" s="50" t="n"/>
      <c r="G2" s="50" t="n"/>
      <c r="H2" s="50" t="n"/>
      <c r="I2" s="50" t="n"/>
      <c r="J2" s="50" t="n"/>
      <c r="K2" s="50" t="n"/>
    </row>
    <row r="3">
      <c r="A3" s="14" t="inlineStr">
        <is>
          <t>Item</t>
        </is>
      </c>
      <c r="B3" s="14" t="inlineStr">
        <is>
          <t>Current Value</t>
        </is>
      </c>
      <c r="C3" s="50" t="n"/>
      <c r="D3" s="14" t="inlineStr">
        <is>
          <t>Configuration Area</t>
        </is>
      </c>
      <c r="E3" s="14" t="inlineStr">
        <is>
          <t>Status</t>
        </is>
      </c>
      <c r="F3" s="14" t="inlineStr">
        <is>
          <t>Notes</t>
        </is>
      </c>
      <c r="G3" s="50" t="n"/>
      <c r="H3" s="50" t="n"/>
      <c r="I3" s="50" t="n"/>
      <c r="J3" s="50" t="n"/>
      <c r="K3" s="50" t="n"/>
    </row>
    <row r="4">
      <c r="A4" s="40" t="inlineStr">
        <is>
          <t>MCU</t>
        </is>
      </c>
      <c r="B4" s="50" t="inlineStr">
        <is>
          <t>STM32G474CBT6TR</t>
        </is>
      </c>
      <c r="C4" s="50" t="n"/>
      <c r="D4" s="50" t="inlineStr">
        <is>
          <t>Clock tree</t>
        </is>
      </c>
      <c r="E4" s="51" t="inlineStr">
        <is>
          <t>Confirmed</t>
        </is>
      </c>
      <c r="F4" s="50" t="inlineStr">
        <is>
          <t>100 MHz from HSI16 through PLL; all main buses at 100 MHz</t>
        </is>
      </c>
      <c r="G4" s="50" t="n"/>
      <c r="H4" s="50" t="n"/>
      <c r="I4" s="50" t="n"/>
      <c r="J4" s="50" t="n"/>
      <c r="K4" s="50" t="n"/>
    </row>
    <row r="5">
      <c r="A5" s="40" t="inlineStr">
        <is>
          <t>Package</t>
        </is>
      </c>
      <c r="B5" s="50" t="inlineStr">
        <is>
          <t>LQFP48</t>
        </is>
      </c>
      <c r="C5" s="50" t="n"/>
      <c r="D5" s="50" t="inlineStr">
        <is>
          <t>SYS / SWD</t>
        </is>
      </c>
      <c r="E5" s="52" t="inlineStr">
        <is>
          <t>Confirmed</t>
        </is>
      </c>
      <c r="F5" s="50" t="inlineStr">
        <is>
          <t>Serial Wire selected; PA13/PA14 reserved for SWD, PG10 used for NRST</t>
        </is>
      </c>
      <c r="G5" s="50" t="n"/>
      <c r="H5" s="50" t="n"/>
      <c r="I5" s="50" t="n"/>
      <c r="J5" s="50" t="n"/>
      <c r="K5" s="50" t="n"/>
    </row>
    <row r="6">
      <c r="A6" s="40" t="inlineStr">
        <is>
          <t>CubeMX device selection</t>
        </is>
      </c>
      <c r="B6" s="50" t="inlineStr">
        <is>
          <t>STM32G474CBT6</t>
        </is>
      </c>
      <c r="C6" s="50" t="n"/>
      <c r="D6" s="50" t="inlineStr">
        <is>
          <t>RCC</t>
        </is>
      </c>
      <c r="E6" s="51" t="inlineStr">
        <is>
          <t>Configured</t>
        </is>
      </c>
      <c r="F6" s="50" t="inlineStr">
        <is>
          <t>Internal HSI used; HSE/LSE not required for current design</t>
        </is>
      </c>
      <c r="G6" s="50" t="n"/>
      <c r="H6" s="50" t="n"/>
      <c r="I6" s="50" t="n"/>
      <c r="J6" s="50" t="n"/>
      <c r="K6" s="50" t="n"/>
    </row>
    <row r="7">
      <c r="A7" s="40" t="inlineStr">
        <is>
          <t>System clock</t>
        </is>
      </c>
      <c r="B7" s="50" t="inlineStr">
        <is>
          <t>100 MHz</t>
        </is>
      </c>
      <c r="C7" s="50" t="n"/>
      <c r="D7" s="50" t="inlineStr">
        <is>
          <t>Pi UART</t>
        </is>
      </c>
      <c r="E7" s="53" t="inlineStr">
        <is>
          <t>Confirmed</t>
        </is>
      </c>
      <c r="F7" s="50" t="inlineStr">
        <is>
          <t>USART3 configured on PB10/PB11: asynchronous, 115200 baud, 8-N-1, no HW flow control; IRQ enabled</t>
        </is>
      </c>
      <c r="G7" s="50" t="n"/>
      <c r="H7" s="50" t="n"/>
      <c r="I7" s="50" t="n"/>
      <c r="J7" s="50" t="n"/>
      <c r="K7" s="50" t="n"/>
    </row>
    <row r="8">
      <c r="A8" s="40" t="inlineStr">
        <is>
          <t>Clock source</t>
        </is>
      </c>
      <c r="B8" s="50" t="inlineStr">
        <is>
          <t>HSI16 -&gt; PLL</t>
        </is>
      </c>
      <c r="C8" s="50" t="n"/>
      <c r="D8" s="50" t="inlineStr">
        <is>
          <t>Motor PWM / EN</t>
        </is>
      </c>
      <c r="E8" s="53" t="inlineStr">
        <is>
          <t>Confirmed</t>
        </is>
      </c>
      <c r="F8" s="50" t="inlineStr">
        <is>
          <t>TIM1 + TIM2 motor PWM and all six motor EN GPIOs configured. Motor PWM is 20 kHz; EN outputs default LOW with external 10 kOhm pull-downs planned.</t>
        </is>
      </c>
      <c r="G8" s="50" t="n"/>
      <c r="H8" s="50" t="n"/>
      <c r="I8" s="50" t="n"/>
      <c r="J8" s="50" t="n"/>
      <c r="K8" s="50" t="n"/>
    </row>
    <row r="9">
      <c r="A9" s="50" t="n"/>
      <c r="B9" s="50" t="n"/>
      <c r="C9" s="50" t="n"/>
      <c r="D9" s="50" t="inlineStr">
        <is>
          <t>Servo PWM</t>
        </is>
      </c>
      <c r="E9" s="53" t="inlineStr">
        <is>
          <t>Confirmed</t>
        </is>
      </c>
      <c r="F9" s="50" t="inlineStr">
        <is>
          <t>TIM3 CH1-CH4 provide Servo 1-4 PWM; TIM5 CH3/CH4 on PA2/PA3 provide Servo 5-6 PWM. All six channels use 50 Hz, 1 us timer ticks, independent CCR values, and one 10 kOhm external pull-down to GND per PWM line for a defined reset state.</t>
        </is>
      </c>
      <c r="G9" s="50" t="n"/>
      <c r="H9" s="50" t="n"/>
      <c r="I9" s="50" t="n"/>
      <c r="J9" s="50" t="n"/>
      <c r="K9" s="50" t="n"/>
    </row>
    <row r="10">
      <c r="A10" s="50" t="n"/>
      <c r="B10" s="50" t="n"/>
      <c r="C10" s="50" t="n"/>
      <c r="D10" s="50" t="inlineStr">
        <is>
          <t>Offboard STM comms</t>
        </is>
      </c>
      <c r="E10" s="50" t="inlineStr">
        <is>
          <t>Reserved</t>
        </is>
      </c>
      <c r="F10" s="50" t="inlineStr">
        <is>
          <t>PB3/PB4 intentionally left available for USART2 TX/RX if needed</t>
        </is>
      </c>
      <c r="G10" s="50" t="n"/>
      <c r="H10" s="50" t="n"/>
      <c r="I10" s="50" t="n"/>
      <c r="J10" s="50" t="n"/>
      <c r="K10" s="50" t="n"/>
    </row>
    <row r="11">
      <c r="A11" s="50" t="n"/>
      <c r="B11" s="50" t="n"/>
      <c r="C11" s="50" t="n"/>
      <c r="D11" s="50" t="inlineStr">
        <is>
          <t>Project generation</t>
        </is>
      </c>
      <c r="E11" s="50" t="inlineStr">
        <is>
          <t>Next</t>
        </is>
      </c>
      <c r="F11" s="50" t="inlineStr">
        <is>
          <t>Final pinout audit, then Project Manager / Code Generator settings for STM32CubeIDE.</t>
        </is>
      </c>
      <c r="G11" s="50" t="n"/>
      <c r="H11" s="50" t="n"/>
      <c r="I11" s="50" t="n"/>
      <c r="J11" s="50" t="n"/>
      <c r="K11" s="50" t="n"/>
    </row>
    <row r="12">
      <c r="A12" s="50" t="n"/>
      <c r="B12" s="50" t="n"/>
      <c r="C12" s="50" t="n"/>
      <c r="D12" s="50" t="inlineStr">
        <is>
          <t>Solenoid control</t>
        </is>
      </c>
      <c r="E12" s="50" t="inlineStr">
        <is>
          <t>Confirmed</t>
        </is>
      </c>
      <c r="F12" s="50" t="inlineStr">
        <is>
          <t>PA12 configured as GPIO output, push-pull, initial LOW, No Pull, Low speed. External valve power driver and flyback suppression required; 10 kOhm control pull-down recommended.</t>
        </is>
      </c>
      <c r="G12" s="50" t="n"/>
      <c r="H12" s="50" t="n"/>
      <c r="I12" s="50" t="n"/>
      <c r="J12" s="50" t="n"/>
      <c r="K12" s="50" t="n"/>
    </row>
    <row r="13">
      <c r="A13" s="50" t="n"/>
      <c r="B13" s="50" t="n"/>
      <c r="C13" s="50" t="n"/>
      <c r="D13" s="50" t="n"/>
      <c r="E13" s="50" t="n"/>
      <c r="F13" s="50" t="n"/>
      <c r="G13" s="50" t="n"/>
      <c r="H13" s="50" t="n"/>
      <c r="I13" s="50" t="n"/>
      <c r="J13" s="50" t="n"/>
      <c r="K13" s="50" t="n"/>
    </row>
    <row r="14">
      <c r="A14" s="50" t="n"/>
      <c r="B14" s="50" t="n"/>
      <c r="C14" s="50" t="n"/>
      <c r="D14" s="50" t="n"/>
      <c r="E14" s="50" t="n"/>
      <c r="F14" s="50" t="n"/>
      <c r="G14" s="50" t="n"/>
      <c r="H14" s="50" t="n"/>
      <c r="I14" s="50" t="n"/>
      <c r="J14" s="50" t="n"/>
      <c r="K14" s="50" t="n"/>
    </row>
    <row r="15">
      <c r="A15" s="50" t="n"/>
      <c r="B15" s="50" t="n"/>
      <c r="C15" s="50" t="n"/>
      <c r="D15" s="50" t="n"/>
      <c r="E15" s="50" t="n"/>
      <c r="F15" s="50" t="n"/>
      <c r="G15" s="50" t="n"/>
      <c r="H15" s="50" t="n"/>
      <c r="I15" s="50" t="n"/>
      <c r="J15" s="50" t="n"/>
      <c r="K15" s="50" t="n"/>
    </row>
    <row r="16">
      <c r="A16" s="50" t="n"/>
      <c r="B16" s="50" t="n"/>
      <c r="C16" s="50" t="n"/>
      <c r="D16" s="50" t="n"/>
      <c r="E16" s="50" t="n"/>
      <c r="F16" s="50" t="n"/>
      <c r="G16" s="50" t="n"/>
      <c r="H16" s="50" t="n"/>
      <c r="I16" s="50" t="n"/>
      <c r="J16" s="50" t="n"/>
      <c r="K16" s="50" t="n"/>
    </row>
    <row r="17">
      <c r="A17" s="50" t="n"/>
      <c r="B17" s="50" t="n"/>
      <c r="C17" s="50" t="n"/>
      <c r="D17" s="50" t="n"/>
      <c r="E17" s="50" t="n"/>
      <c r="F17" s="50" t="n"/>
      <c r="G17" s="50" t="n"/>
      <c r="H17" s="50" t="n"/>
      <c r="I17" s="50" t="n"/>
      <c r="J17" s="50" t="n"/>
      <c r="K17" s="50" t="n"/>
    </row>
    <row r="18">
      <c r="A18" s="50" t="n"/>
      <c r="B18" s="50" t="n"/>
      <c r="C18" s="50" t="n"/>
      <c r="D18" s="50" t="n"/>
      <c r="E18" s="50" t="n"/>
      <c r="F18" s="50" t="n"/>
      <c r="G18" s="50" t="n"/>
      <c r="H18" s="50" t="n"/>
      <c r="I18" s="50" t="n"/>
      <c r="J18" s="50" t="n"/>
      <c r="K18" s="50" t="n"/>
    </row>
    <row r="19">
      <c r="A19" s="50" t="n"/>
      <c r="B19" s="50" t="n"/>
      <c r="C19" s="50" t="n"/>
      <c r="D19" s="50" t="n"/>
      <c r="E19" s="50" t="n"/>
      <c r="F19" s="50" t="n"/>
      <c r="G19" s="50" t="n"/>
      <c r="H19" s="50" t="n"/>
      <c r="I19" s="50" t="n"/>
      <c r="J19" s="50" t="n"/>
      <c r="K19" s="50" t="n"/>
    </row>
    <row r="20">
      <c r="A20" s="50" t="n"/>
      <c r="B20" s="50" t="n"/>
      <c r="C20" s="50" t="n"/>
      <c r="D20" s="50" t="n"/>
      <c r="E20" s="50" t="n"/>
      <c r="F20" s="50" t="n"/>
      <c r="G20" s="50" t="n"/>
      <c r="H20" s="50" t="n"/>
      <c r="I20" s="50" t="n"/>
      <c r="J20" s="50" t="n"/>
      <c r="K20" s="50" t="n"/>
    </row>
    <row r="21">
      <c r="A21" s="50" t="n"/>
      <c r="B21" s="50" t="n"/>
      <c r="C21" s="50" t="n"/>
      <c r="D21" s="50" t="n"/>
      <c r="E21" s="50" t="n"/>
      <c r="F21" s="50" t="n"/>
      <c r="G21" s="50" t="n"/>
      <c r="H21" s="50" t="n"/>
      <c r="I21" s="50" t="n"/>
      <c r="J21" s="50" t="n"/>
      <c r="K21" s="50" t="n"/>
    </row>
    <row r="22">
      <c r="A22" s="50" t="n"/>
      <c r="B22" s="50" t="n"/>
      <c r="C22" s="50" t="n"/>
      <c r="D22" s="50" t="n"/>
      <c r="E22" s="50" t="n"/>
      <c r="F22" s="50" t="n"/>
      <c r="G22" s="50" t="n"/>
      <c r="H22" s="50" t="n"/>
      <c r="I22" s="50" t="n"/>
      <c r="J22" s="50" t="n"/>
      <c r="K22" s="50" t="n"/>
    </row>
    <row r="23">
      <c r="A23" s="50" t="n"/>
      <c r="B23" s="50" t="n"/>
      <c r="C23" s="50" t="n"/>
      <c r="D23" s="50" t="n"/>
      <c r="E23" s="50" t="n"/>
      <c r="F23" s="50" t="n"/>
      <c r="G23" s="50" t="n"/>
      <c r="H23" s="50" t="n"/>
      <c r="I23" s="50" t="n"/>
      <c r="J23" s="50" t="n"/>
      <c r="K23" s="50" t="n"/>
    </row>
    <row r="24">
      <c r="A24" s="50" t="n"/>
      <c r="B24" s="50" t="n"/>
      <c r="C24" s="50" t="n"/>
      <c r="D24" s="50" t="n"/>
      <c r="E24" s="50" t="n"/>
      <c r="F24" s="50" t="n"/>
      <c r="G24" s="50" t="n"/>
      <c r="H24" s="50" t="n"/>
      <c r="I24" s="50" t="n"/>
      <c r="J24" s="50" t="n"/>
      <c r="K24" s="50" t="n"/>
    </row>
    <row r="25">
      <c r="A25" s="50" t="n"/>
      <c r="B25" s="50" t="n"/>
      <c r="C25" s="50" t="n"/>
      <c r="D25" s="50" t="n"/>
      <c r="E25" s="50" t="n"/>
      <c r="F25" s="50" t="n"/>
      <c r="G25" s="50" t="n"/>
      <c r="H25" s="50" t="n"/>
      <c r="I25" s="50" t="n"/>
      <c r="J25" s="50" t="n"/>
      <c r="K25" s="50" t="n"/>
    </row>
    <row r="26">
      <c r="A26" s="50" t="n"/>
      <c r="B26" s="50" t="n"/>
      <c r="C26" s="50" t="n"/>
      <c r="D26" s="50" t="n"/>
      <c r="E26" s="50" t="n"/>
      <c r="F26" s="50" t="n"/>
      <c r="G26" s="50" t="n"/>
      <c r="H26" s="50" t="n"/>
      <c r="I26" s="50" t="n"/>
      <c r="J26" s="50" t="n"/>
      <c r="K26" s="50" t="n"/>
    </row>
    <row r="27">
      <c r="A27" s="50" t="n"/>
      <c r="B27" s="50" t="n"/>
      <c r="C27" s="50" t="n"/>
      <c r="D27" s="50" t="n"/>
      <c r="E27" s="50" t="n"/>
      <c r="F27" s="50" t="n"/>
      <c r="G27" s="50" t="n"/>
      <c r="H27" s="50" t="n"/>
      <c r="I27" s="50" t="n"/>
      <c r="J27" s="50" t="n"/>
      <c r="K27" s="50" t="n"/>
    </row>
    <row r="28">
      <c r="A28" s="50" t="n"/>
      <c r="B28" s="50" t="n"/>
      <c r="C28" s="50" t="n"/>
      <c r="D28" s="50" t="n"/>
      <c r="E28" s="50" t="n"/>
      <c r="F28" s="50" t="n"/>
      <c r="G28" s="50" t="n"/>
      <c r="H28" s="50" t="n"/>
      <c r="I28" s="50" t="n"/>
      <c r="J28" s="50" t="n"/>
      <c r="K28" s="50" t="n"/>
    </row>
    <row r="29">
      <c r="A29" s="50" t="n"/>
      <c r="B29" s="50" t="n"/>
      <c r="C29" s="50" t="n"/>
      <c r="D29" s="50" t="n"/>
      <c r="E29" s="50" t="n"/>
      <c r="F29" s="50" t="n"/>
      <c r="G29" s="50" t="n"/>
      <c r="H29" s="50" t="n"/>
      <c r="I29" s="50" t="n"/>
      <c r="J29" s="50" t="n"/>
      <c r="K29" s="50" t="n"/>
    </row>
    <row r="30">
      <c r="A30" s="50" t="n"/>
      <c r="B30" s="50" t="n"/>
      <c r="C30" s="50" t="n"/>
      <c r="D30" s="50" t="n"/>
      <c r="E30" s="50" t="n"/>
      <c r="F30" s="50" t="n"/>
      <c r="G30" s="50" t="n"/>
      <c r="H30" s="50" t="n"/>
      <c r="I30" s="50" t="n"/>
      <c r="J30" s="50" t="n"/>
      <c r="K30" s="50" t="n"/>
    </row>
    <row r="31">
      <c r="A31" s="50" t="n"/>
      <c r="B31" s="50" t="n"/>
      <c r="C31" s="50" t="n"/>
      <c r="D31" s="50" t="n"/>
      <c r="E31" s="50" t="n"/>
      <c r="F31" s="50" t="n"/>
      <c r="G31" s="50" t="n"/>
      <c r="H31" s="50" t="n"/>
      <c r="I31" s="50" t="n"/>
      <c r="J31" s="50" t="n"/>
      <c r="K31" s="50" t="n"/>
    </row>
    <row r="32">
      <c r="A32" s="50" t="n"/>
      <c r="B32" s="50" t="n"/>
      <c r="C32" s="50" t="n"/>
      <c r="D32" s="50" t="n"/>
      <c r="E32" s="50" t="n"/>
      <c r="F32" s="50" t="n"/>
      <c r="G32" s="50" t="n"/>
      <c r="H32" s="50" t="n"/>
      <c r="I32" s="50" t="n"/>
      <c r="J32" s="50" t="n"/>
      <c r="K32" s="50" t="n"/>
    </row>
    <row r="33">
      <c r="A33" s="50" t="n"/>
      <c r="B33" s="50" t="n"/>
      <c r="C33" s="50" t="n"/>
      <c r="D33" s="50" t="n"/>
      <c r="E33" s="50" t="n"/>
      <c r="F33" s="50" t="n"/>
      <c r="G33" s="50" t="n"/>
      <c r="H33" s="50" t="n"/>
      <c r="I33" s="50" t="n"/>
      <c r="J33" s="50" t="n"/>
      <c r="K33" s="50" t="n"/>
    </row>
    <row r="34">
      <c r="A34" s="50" t="n"/>
      <c r="B34" s="50" t="n"/>
      <c r="C34" s="50" t="n"/>
      <c r="D34" s="50" t="n"/>
      <c r="E34" s="50" t="n"/>
      <c r="F34" s="50" t="n"/>
      <c r="G34" s="50" t="n"/>
      <c r="H34" s="50" t="n"/>
      <c r="I34" s="50" t="n"/>
      <c r="J34" s="50" t="n"/>
      <c r="K34" s="50" t="n"/>
    </row>
    <row r="35">
      <c r="A35" s="50" t="n"/>
      <c r="B35" s="50" t="n"/>
      <c r="C35" s="50" t="n"/>
      <c r="D35" s="50" t="n"/>
      <c r="E35" s="50" t="n"/>
      <c r="F35" s="50" t="n"/>
      <c r="G35" s="50" t="n"/>
      <c r="H35" s="50" t="n"/>
      <c r="I35" s="50" t="n"/>
      <c r="J35" s="50" t="n"/>
      <c r="K35" s="50" t="n"/>
    </row>
    <row r="36">
      <c r="A36" s="50" t="n"/>
      <c r="B36" s="50" t="n"/>
      <c r="C36" s="50" t="n"/>
      <c r="D36" s="50" t="n"/>
      <c r="E36" s="50" t="n"/>
      <c r="F36" s="50" t="n"/>
      <c r="G36" s="50" t="n"/>
      <c r="H36" s="50" t="n"/>
      <c r="I36" s="50" t="n"/>
      <c r="J36" s="50" t="n"/>
      <c r="K36" s="50" t="n"/>
    </row>
    <row r="37">
      <c r="A37" s="50" t="n"/>
      <c r="B37" s="50" t="n"/>
      <c r="C37" s="50" t="n"/>
      <c r="D37" s="50" t="n"/>
      <c r="E37" s="50" t="n"/>
      <c r="F37" s="50" t="n"/>
      <c r="G37" s="50" t="n"/>
      <c r="H37" s="50" t="n"/>
      <c r="I37" s="50" t="n"/>
      <c r="J37" s="50" t="n"/>
      <c r="K37" s="50" t="n"/>
    </row>
    <row r="38">
      <c r="A38" s="50" t="n"/>
      <c r="B38" s="50" t="n"/>
      <c r="C38" s="50" t="n"/>
      <c r="D38" s="50" t="n"/>
      <c r="E38" s="50" t="n"/>
      <c r="F38" s="50" t="n"/>
      <c r="G38" s="50" t="n"/>
      <c r="H38" s="50" t="n"/>
      <c r="I38" s="50" t="n"/>
      <c r="J38" s="50" t="n"/>
      <c r="K38" s="50" t="n"/>
    </row>
    <row r="39">
      <c r="A39" s="50" t="n"/>
      <c r="B39" s="50" t="n"/>
      <c r="C39" s="50" t="n"/>
      <c r="D39" s="50" t="n"/>
      <c r="E39" s="50" t="n"/>
      <c r="F39" s="50" t="n"/>
      <c r="G39" s="50" t="n"/>
      <c r="H39" s="50" t="n"/>
      <c r="I39" s="50" t="n"/>
      <c r="J39" s="50" t="n"/>
      <c r="K39" s="50" t="n"/>
    </row>
    <row r="40">
      <c r="A40" s="50" t="n"/>
      <c r="B40" s="50" t="n"/>
      <c r="C40" s="50" t="n"/>
      <c r="D40" s="50" t="n"/>
      <c r="E40" s="50" t="n"/>
      <c r="F40" s="50" t="n"/>
      <c r="G40" s="50" t="n"/>
      <c r="H40" s="50" t="n"/>
      <c r="I40" s="50" t="n"/>
      <c r="J40" s="50" t="n"/>
      <c r="K40" s="50" t="n"/>
    </row>
    <row r="41">
      <c r="A41" s="50" t="n"/>
      <c r="B41" s="50" t="n"/>
      <c r="C41" s="50" t="n"/>
      <c r="D41" s="50" t="n"/>
      <c r="E41" s="50" t="n"/>
      <c r="F41" s="50" t="n"/>
      <c r="G41" s="50" t="n"/>
      <c r="H41" s="50" t="n"/>
      <c r="I41" s="50" t="n"/>
      <c r="J41" s="50" t="n"/>
      <c r="K41" s="50" t="n"/>
    </row>
    <row r="42">
      <c r="A42" s="50" t="n"/>
      <c r="B42" s="50" t="n"/>
      <c r="C42" s="50" t="n"/>
      <c r="D42" s="50" t="n"/>
      <c r="E42" s="50" t="n"/>
      <c r="F42" s="50" t="n"/>
      <c r="G42" s="50" t="n"/>
      <c r="H42" s="50" t="n"/>
      <c r="I42" s="50" t="n"/>
      <c r="J42" s="50" t="n"/>
      <c r="K42" s="50" t="n"/>
    </row>
    <row r="43">
      <c r="A43" s="50" t="n"/>
      <c r="B43" s="50" t="n"/>
      <c r="C43" s="50" t="n"/>
      <c r="D43" s="50" t="n"/>
      <c r="E43" s="50" t="n"/>
      <c r="F43" s="50" t="n"/>
      <c r="G43" s="50" t="n"/>
      <c r="H43" s="50" t="n"/>
      <c r="I43" s="50" t="n"/>
      <c r="J43" s="50" t="n"/>
      <c r="K43" s="50" t="n"/>
    </row>
    <row r="44">
      <c r="A44" s="50" t="n"/>
      <c r="B44" s="50" t="n"/>
      <c r="C44" s="50" t="n"/>
      <c r="D44" s="50" t="n"/>
      <c r="E44" s="50" t="n"/>
      <c r="F44" s="50" t="n"/>
      <c r="G44" s="50" t="n"/>
      <c r="H44" s="50" t="n"/>
      <c r="I44" s="50" t="n"/>
      <c r="J44" s="50" t="n"/>
      <c r="K44" s="50" t="n"/>
    </row>
    <row r="45">
      <c r="A45" s="50" t="n"/>
      <c r="B45" s="50" t="n"/>
      <c r="C45" s="50" t="n"/>
      <c r="D45" s="50" t="n"/>
      <c r="E45" s="50" t="n"/>
      <c r="F45" s="50" t="n"/>
      <c r="G45" s="50" t="n"/>
      <c r="H45" s="50" t="n"/>
      <c r="I45" s="50" t="n"/>
      <c r="J45" s="50" t="n"/>
      <c r="K45" s="50" t="n"/>
    </row>
    <row r="46">
      <c r="A46" s="50" t="n"/>
      <c r="B46" s="50" t="n"/>
      <c r="C46" s="50" t="n"/>
      <c r="D46" s="50" t="n"/>
      <c r="E46" s="50" t="n"/>
      <c r="F46" s="50" t="n"/>
      <c r="G46" s="50" t="n"/>
      <c r="H46" s="50" t="n"/>
      <c r="I46" s="50" t="n"/>
      <c r="J46" s="50" t="n"/>
      <c r="K46" s="50" t="n"/>
    </row>
    <row r="47">
      <c r="A47" s="50" t="n"/>
      <c r="B47" s="50" t="n"/>
      <c r="C47" s="50" t="n"/>
      <c r="D47" s="50" t="n"/>
      <c r="E47" s="50" t="n"/>
      <c r="F47" s="50" t="n"/>
      <c r="G47" s="50" t="n"/>
      <c r="H47" s="50" t="n"/>
      <c r="I47" s="50" t="n"/>
      <c r="J47" s="50" t="n"/>
      <c r="K47" s="50" t="n"/>
    </row>
    <row r="48">
      <c r="A48" s="50" t="n"/>
      <c r="B48" s="50" t="n"/>
      <c r="C48" s="50" t="n"/>
      <c r="D48" s="50" t="n"/>
      <c r="E48" s="50" t="n"/>
      <c r="F48" s="50" t="n"/>
      <c r="G48" s="50" t="n"/>
      <c r="H48" s="50" t="n"/>
      <c r="I48" s="50" t="n"/>
      <c r="J48" s="50" t="n"/>
      <c r="K48" s="50" t="n"/>
    </row>
    <row r="49">
      <c r="A49" s="50" t="n"/>
      <c r="B49" s="50" t="n"/>
      <c r="C49" s="50" t="n"/>
      <c r="D49" s="50" t="n"/>
      <c r="E49" s="50" t="n"/>
      <c r="F49" s="50" t="n"/>
      <c r="G49" s="50" t="n"/>
      <c r="H49" s="50" t="n"/>
      <c r="I49" s="50" t="n"/>
      <c r="J49" s="50" t="n"/>
      <c r="K49" s="50" t="n"/>
    </row>
    <row r="50">
      <c r="A50" s="50" t="n"/>
      <c r="B50" s="50" t="n"/>
      <c r="C50" s="50" t="n"/>
      <c r="D50" s="50" t="n"/>
      <c r="E50" s="50" t="n"/>
      <c r="F50" s="50" t="n"/>
      <c r="G50" s="50" t="n"/>
      <c r="H50" s="50" t="n"/>
      <c r="I50" s="50" t="n"/>
      <c r="J50" s="50" t="n"/>
      <c r="K50" s="50" t="n"/>
    </row>
    <row r="51">
      <c r="A51" s="50" t="n"/>
      <c r="B51" s="50" t="n"/>
      <c r="C51" s="50" t="n"/>
      <c r="D51" s="50" t="n"/>
      <c r="E51" s="50" t="n"/>
      <c r="F51" s="50" t="n"/>
      <c r="G51" s="50" t="n"/>
      <c r="H51" s="50" t="n"/>
      <c r="I51" s="50" t="n"/>
      <c r="J51" s="50" t="n"/>
      <c r="K51" s="50" t="n"/>
    </row>
    <row r="52">
      <c r="A52" s="50" t="n"/>
      <c r="B52" s="50" t="n"/>
      <c r="C52" s="50" t="n"/>
      <c r="D52" s="50" t="n"/>
      <c r="E52" s="50" t="n"/>
      <c r="F52" s="50" t="n"/>
      <c r="G52" s="50" t="n"/>
      <c r="H52" s="50" t="n"/>
      <c r="I52" s="50" t="n"/>
      <c r="J52" s="50" t="n"/>
      <c r="K52" s="50" t="n"/>
    </row>
    <row r="53">
      <c r="A53" s="50" t="n"/>
      <c r="B53" s="50" t="n"/>
      <c r="C53" s="50" t="n"/>
      <c r="D53" s="50" t="n"/>
      <c r="E53" s="50" t="n"/>
      <c r="F53" s="50" t="n"/>
      <c r="G53" s="50" t="n"/>
      <c r="H53" s="50" t="n"/>
      <c r="I53" s="50" t="n"/>
      <c r="J53" s="50" t="n"/>
      <c r="K53" s="50" t="n"/>
    </row>
    <row r="54">
      <c r="A54" s="50" t="n"/>
      <c r="B54" s="50" t="n"/>
      <c r="C54" s="50" t="n"/>
      <c r="D54" s="50" t="n"/>
      <c r="E54" s="50" t="n"/>
      <c r="F54" s="50" t="n"/>
      <c r="G54" s="50" t="n"/>
      <c r="H54" s="50" t="n"/>
      <c r="I54" s="50" t="n"/>
      <c r="J54" s="50" t="n"/>
      <c r="K54" s="50" t="n"/>
    </row>
    <row r="55">
      <c r="A55" s="50" t="n"/>
      <c r="B55" s="50" t="n"/>
      <c r="C55" s="50" t="n"/>
      <c r="D55" s="50" t="n"/>
      <c r="E55" s="50" t="n"/>
      <c r="F55" s="50" t="n"/>
      <c r="G55" s="50" t="n"/>
      <c r="H55" s="50" t="n"/>
      <c r="I55" s="50" t="n"/>
      <c r="J55" s="50" t="n"/>
      <c r="K55" s="50" t="n"/>
    </row>
    <row r="56">
      <c r="A56" s="50" t="n"/>
      <c r="B56" s="50" t="n"/>
      <c r="C56" s="50" t="n"/>
      <c r="D56" s="50" t="n"/>
      <c r="E56" s="50" t="n"/>
      <c r="F56" s="50" t="n"/>
      <c r="G56" s="50" t="n"/>
      <c r="H56" s="50" t="n"/>
      <c r="I56" s="50" t="n"/>
      <c r="J56" s="50" t="n"/>
      <c r="K56" s="50" t="n"/>
    </row>
    <row r="57">
      <c r="A57" s="50" t="n"/>
      <c r="B57" s="50" t="n"/>
      <c r="C57" s="50" t="n"/>
      <c r="D57" s="50" t="n"/>
      <c r="E57" s="50" t="n"/>
      <c r="F57" s="50" t="n"/>
      <c r="G57" s="50" t="n"/>
      <c r="H57" s="50" t="n"/>
      <c r="I57" s="50" t="n"/>
      <c r="J57" s="50" t="n"/>
      <c r="K57" s="50" t="n"/>
    </row>
    <row r="58">
      <c r="A58" s="50" t="n"/>
      <c r="B58" s="50" t="n"/>
      <c r="C58" s="50" t="n"/>
      <c r="D58" s="50" t="n"/>
      <c r="E58" s="50" t="n"/>
      <c r="F58" s="50" t="n"/>
      <c r="G58" s="50" t="n"/>
      <c r="H58" s="50" t="n"/>
      <c r="I58" s="50" t="n"/>
      <c r="J58" s="50" t="n"/>
      <c r="K58" s="50" t="n"/>
    </row>
    <row r="59">
      <c r="A59" s="50" t="n"/>
      <c r="B59" s="50" t="n"/>
      <c r="C59" s="50" t="n"/>
      <c r="D59" s="50" t="n"/>
      <c r="E59" s="50" t="n"/>
      <c r="F59" s="50" t="n"/>
      <c r="G59" s="50" t="n"/>
      <c r="H59" s="50" t="n"/>
      <c r="I59" s="50" t="n"/>
      <c r="J59" s="50" t="n"/>
      <c r="K59" s="50" t="n"/>
    </row>
    <row r="60">
      <c r="A60" s="50" t="n"/>
      <c r="B60" s="50" t="n"/>
      <c r="C60" s="50" t="n"/>
      <c r="D60" s="50" t="n"/>
      <c r="E60" s="50" t="n"/>
      <c r="F60" s="50" t="n"/>
      <c r="G60" s="50" t="n"/>
      <c r="H60" s="50" t="n"/>
      <c r="I60" s="50" t="n"/>
      <c r="J60" s="50" t="n"/>
      <c r="K60" s="50" t="n"/>
    </row>
  </sheetData>
  <mergeCells count="1">
    <mergeCell ref="A1:F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cols>
    <col width="22" customWidth="1" style="58" min="1" max="1"/>
    <col width="18" customWidth="1" style="58" min="2" max="2"/>
    <col width="20" customWidth="1" style="58" min="3" max="3"/>
    <col width="18" customWidth="1" style="58" min="4" max="4"/>
    <col width="36" customWidth="1" style="58" min="5" max="5"/>
    <col width="24" customWidth="1" style="58" min="6" max="6"/>
  </cols>
  <sheetData>
    <row r="1">
      <c r="A1" s="226" t="inlineStr">
        <is>
          <t>Clock Configuration</t>
        </is>
      </c>
      <c r="B1" s="227" t="n"/>
      <c r="C1" s="227" t="n"/>
      <c r="D1" s="227" t="n"/>
      <c r="E1" s="227" t="n"/>
      <c r="F1" s="227" t="n"/>
      <c r="G1" s="50" t="n"/>
      <c r="H1" s="50" t="n"/>
      <c r="I1" s="50" t="n"/>
      <c r="J1" s="50" t="n"/>
      <c r="K1" s="50" t="n"/>
    </row>
    <row r="2">
      <c r="A2" s="50" t="n"/>
      <c r="B2" s="50" t="n"/>
      <c r="C2" s="50" t="n"/>
      <c r="D2" s="50" t="n"/>
      <c r="E2" s="50" t="n"/>
      <c r="F2" s="50" t="n"/>
      <c r="G2" s="50" t="n"/>
      <c r="H2" s="50" t="n"/>
      <c r="I2" s="50" t="n"/>
      <c r="J2" s="50" t="n"/>
      <c r="K2" s="50" t="n"/>
    </row>
    <row r="3">
      <c r="A3" s="14" t="inlineStr">
        <is>
          <t>Parameter</t>
        </is>
      </c>
      <c r="B3" s="14" t="inlineStr">
        <is>
          <t>CubeMX Setting</t>
        </is>
      </c>
      <c r="C3" s="14" t="inlineStr">
        <is>
          <t>Result</t>
        </is>
      </c>
      <c r="D3" s="14" t="inlineStr">
        <is>
          <t>Status</t>
        </is>
      </c>
      <c r="E3" s="14" t="inlineStr">
        <is>
          <t>Reason / Notes</t>
        </is>
      </c>
      <c r="F3" s="14" t="inlineStr">
        <is>
          <t>Source</t>
        </is>
      </c>
      <c r="G3" s="50" t="n"/>
      <c r="H3" s="50" t="n"/>
      <c r="I3" s="50" t="n"/>
      <c r="J3" s="50" t="n"/>
      <c r="K3" s="50" t="n"/>
    </row>
    <row r="4">
      <c r="A4" s="50" t="inlineStr">
        <is>
          <t>HSI</t>
        </is>
      </c>
      <c r="B4" s="50" t="inlineStr">
        <is>
          <t>16 MHz</t>
        </is>
      </c>
      <c r="C4" s="50" t="inlineStr">
        <is>
          <t>16 MHz</t>
        </is>
      </c>
      <c r="D4" s="51" t="inlineStr">
        <is>
          <t>Confirmed</t>
        </is>
      </c>
      <c r="E4" s="50" t="inlineStr">
        <is>
          <t>Internal high-speed oscillator used as PLL source</t>
        </is>
      </c>
      <c r="F4" s="50" t="inlineStr">
        <is>
          <t>User CubeMX screenshot</t>
        </is>
      </c>
      <c r="G4" s="50" t="n"/>
      <c r="H4" s="50" t="n"/>
      <c r="I4" s="50" t="n"/>
      <c r="J4" s="50" t="n"/>
      <c r="K4" s="50" t="n"/>
    </row>
    <row r="5">
      <c r="A5" s="50" t="inlineStr">
        <is>
          <t>PLL Source</t>
        </is>
      </c>
      <c r="B5" s="50" t="inlineStr">
        <is>
          <t>HSI</t>
        </is>
      </c>
      <c r="C5" s="50" t="inlineStr">
        <is>
          <t>HSI16</t>
        </is>
      </c>
      <c r="D5" s="51" t="inlineStr">
        <is>
          <t>Confirmed</t>
        </is>
      </c>
      <c r="E5" s="50" t="inlineStr">
        <is>
          <t>No external high-speed crystal required</t>
        </is>
      </c>
      <c r="F5" s="50" t="inlineStr">
        <is>
          <t>User CubeMX screenshot</t>
        </is>
      </c>
      <c r="G5" s="50" t="n"/>
      <c r="H5" s="50" t="n"/>
      <c r="I5" s="50" t="n"/>
      <c r="J5" s="50" t="n"/>
      <c r="K5" s="50" t="n"/>
    </row>
    <row r="6">
      <c r="A6" s="50" t="inlineStr">
        <is>
          <t>PLLM</t>
        </is>
      </c>
      <c r="B6" s="50" t="inlineStr">
        <is>
          <t>/2</t>
        </is>
      </c>
      <c r="C6" s="50" t="inlineStr">
        <is>
          <t>8 MHz PLL input</t>
        </is>
      </c>
      <c r="D6" s="51" t="inlineStr">
        <is>
          <t>Confirmed</t>
        </is>
      </c>
      <c r="E6" s="50" t="inlineStr">
        <is>
          <t>16 MHz / 2</t>
        </is>
      </c>
      <c r="F6" s="50" t="inlineStr">
        <is>
          <t>User CubeMX screenshot</t>
        </is>
      </c>
      <c r="G6" s="50" t="n"/>
      <c r="H6" s="50" t="n"/>
      <c r="I6" s="50" t="n"/>
      <c r="J6" s="50" t="n"/>
      <c r="K6" s="50" t="n"/>
    </row>
    <row r="7">
      <c r="A7" s="50" t="inlineStr">
        <is>
          <t>PLLN</t>
        </is>
      </c>
      <c r="B7" s="50" t="inlineStr">
        <is>
          <t>x25</t>
        </is>
      </c>
      <c r="C7" s="50" t="inlineStr">
        <is>
          <t>200 MHz VCO</t>
        </is>
      </c>
      <c r="D7" s="51" t="inlineStr">
        <is>
          <t>Confirmed</t>
        </is>
      </c>
      <c r="E7" s="50" t="inlineStr">
        <is>
          <t>8 MHz x 25</t>
        </is>
      </c>
      <c r="F7" s="50" t="inlineStr">
        <is>
          <t>User CubeMX screenshot</t>
        </is>
      </c>
      <c r="G7" s="50" t="n"/>
      <c r="H7" s="50" t="n"/>
      <c r="I7" s="50" t="n"/>
      <c r="J7" s="50" t="n"/>
      <c r="K7" s="50" t="n"/>
    </row>
    <row r="8">
      <c r="A8" s="50" t="inlineStr">
        <is>
          <t>PLLR</t>
        </is>
      </c>
      <c r="B8" s="50" t="inlineStr">
        <is>
          <t>/2</t>
        </is>
      </c>
      <c r="C8" s="50" t="inlineStr">
        <is>
          <t>100 MHz PLLR</t>
        </is>
      </c>
      <c r="D8" s="51" t="inlineStr">
        <is>
          <t>Confirmed</t>
        </is>
      </c>
      <c r="E8" s="50" t="inlineStr">
        <is>
          <t>200 MHz / 2</t>
        </is>
      </c>
      <c r="F8" s="50" t="inlineStr">
        <is>
          <t>User CubeMX screenshot</t>
        </is>
      </c>
      <c r="G8" s="50" t="n"/>
      <c r="H8" s="50" t="n"/>
      <c r="I8" s="50" t="n"/>
      <c r="J8" s="50" t="n"/>
      <c r="K8" s="50" t="n"/>
    </row>
    <row r="9">
      <c r="A9" s="50" t="inlineStr">
        <is>
          <t>System Clock Mux</t>
        </is>
      </c>
      <c r="B9" s="50" t="inlineStr">
        <is>
          <t>PLLCLK</t>
        </is>
      </c>
      <c r="C9" s="50" t="inlineStr">
        <is>
          <t>100 MHz SYSCLK</t>
        </is>
      </c>
      <c r="D9" s="51" t="inlineStr">
        <is>
          <t>Confirmed</t>
        </is>
      </c>
      <c r="E9" s="50" t="inlineStr">
        <is>
          <t>PLL selected as system clock</t>
        </is>
      </c>
      <c r="F9" s="50" t="inlineStr">
        <is>
          <t>User CubeMX screenshot</t>
        </is>
      </c>
      <c r="G9" s="50" t="n"/>
      <c r="H9" s="50" t="n"/>
      <c r="I9" s="50" t="n"/>
      <c r="J9" s="50" t="n"/>
      <c r="K9" s="50" t="n"/>
    </row>
    <row r="10">
      <c r="A10" s="50" t="inlineStr">
        <is>
          <t>AHB Prescaler</t>
        </is>
      </c>
      <c r="B10" s="50" t="inlineStr">
        <is>
          <t>/1</t>
        </is>
      </c>
      <c r="C10" s="50" t="inlineStr">
        <is>
          <t>100 MHz HCLK</t>
        </is>
      </c>
      <c r="D10" s="51" t="inlineStr">
        <is>
          <t>Confirmed</t>
        </is>
      </c>
      <c r="E10" s="50" t="inlineStr">
        <is>
          <t>CPU/AHB clock</t>
        </is>
      </c>
      <c r="F10" s="50" t="inlineStr">
        <is>
          <t>User CubeMX screenshot</t>
        </is>
      </c>
      <c r="G10" s="50" t="n"/>
      <c r="H10" s="50" t="n"/>
      <c r="I10" s="50" t="n"/>
      <c r="J10" s="50" t="n"/>
      <c r="K10" s="50" t="n"/>
    </row>
    <row r="11">
      <c r="A11" s="50" t="inlineStr">
        <is>
          <t>APB1 Prescaler</t>
        </is>
      </c>
      <c r="B11" s="50" t="inlineStr">
        <is>
          <t>/1</t>
        </is>
      </c>
      <c r="C11" s="50" t="inlineStr">
        <is>
          <t>100 MHz PCLK1</t>
        </is>
      </c>
      <c r="D11" s="51" t="inlineStr">
        <is>
          <t>Confirmed</t>
        </is>
      </c>
      <c r="E11" s="50" t="inlineStr">
        <is>
          <t>APB1 peripherals/timers</t>
        </is>
      </c>
      <c r="F11" s="50" t="inlineStr">
        <is>
          <t>User CubeMX screenshot</t>
        </is>
      </c>
      <c r="G11" s="50" t="n"/>
      <c r="H11" s="50" t="n"/>
      <c r="I11" s="50" t="n"/>
      <c r="J11" s="50" t="n"/>
      <c r="K11" s="50" t="n"/>
    </row>
    <row r="12">
      <c r="A12" s="50" t="inlineStr">
        <is>
          <t>APB2 Prescaler</t>
        </is>
      </c>
      <c r="B12" s="50" t="inlineStr">
        <is>
          <t>/1</t>
        </is>
      </c>
      <c r="C12" s="50" t="inlineStr">
        <is>
          <t>100 MHz PCLK2</t>
        </is>
      </c>
      <c r="D12" s="51" t="inlineStr">
        <is>
          <t>Confirmed</t>
        </is>
      </c>
      <c r="E12" s="50" t="inlineStr">
        <is>
          <t>APB2 peripherals/timers</t>
        </is>
      </c>
      <c r="F12" s="50" t="inlineStr">
        <is>
          <t>User CubeMX screenshot</t>
        </is>
      </c>
      <c r="G12" s="50" t="n"/>
      <c r="H12" s="50" t="n"/>
      <c r="I12" s="50" t="n"/>
      <c r="J12" s="50" t="n"/>
      <c r="K12" s="50" t="n"/>
    </row>
    <row r="13">
      <c r="A13" s="50" t="n"/>
      <c r="B13" s="50" t="n"/>
      <c r="C13" s="50" t="n"/>
      <c r="D13" s="50" t="n"/>
      <c r="E13" s="50" t="n"/>
      <c r="F13" s="50" t="n"/>
      <c r="G13" s="50" t="n"/>
      <c r="H13" s="50" t="n"/>
      <c r="I13" s="50" t="n"/>
      <c r="J13" s="50" t="n"/>
      <c r="K13" s="50" t="n"/>
    </row>
    <row r="14">
      <c r="A14" s="50" t="n"/>
      <c r="B14" s="50" t="n"/>
      <c r="C14" s="50" t="n"/>
      <c r="D14" s="50" t="n"/>
      <c r="E14" s="50" t="n"/>
      <c r="F14" s="50" t="n"/>
      <c r="G14" s="50" t="n"/>
      <c r="H14" s="50" t="n"/>
      <c r="I14" s="50" t="n"/>
      <c r="J14" s="50" t="n"/>
      <c r="K14" s="50" t="n"/>
    </row>
    <row r="15">
      <c r="A15" s="50" t="n"/>
      <c r="B15" s="50" t="n"/>
      <c r="C15" s="50" t="n"/>
      <c r="D15" s="50" t="n"/>
      <c r="E15" s="50" t="n"/>
      <c r="F15" s="50" t="n"/>
      <c r="G15" s="50" t="n"/>
      <c r="H15" s="50" t="n"/>
      <c r="I15" s="50" t="n"/>
      <c r="J15" s="50" t="n"/>
      <c r="K15" s="50" t="n"/>
    </row>
    <row r="16">
      <c r="A16" s="50" t="n"/>
      <c r="B16" s="50" t="n"/>
      <c r="C16" s="50" t="n"/>
      <c r="D16" s="50" t="n"/>
      <c r="E16" s="50" t="n"/>
      <c r="F16" s="50" t="n"/>
      <c r="G16" s="50" t="n"/>
      <c r="H16" s="50" t="n"/>
      <c r="I16" s="50" t="n"/>
      <c r="J16" s="50" t="n"/>
      <c r="K16" s="50" t="n"/>
    </row>
    <row r="17">
      <c r="A17" s="50" t="n"/>
      <c r="B17" s="50" t="n"/>
      <c r="C17" s="50" t="n"/>
      <c r="D17" s="50" t="n"/>
      <c r="E17" s="50" t="n"/>
      <c r="F17" s="50" t="n"/>
      <c r="G17" s="50" t="n"/>
      <c r="H17" s="50" t="n"/>
      <c r="I17" s="50" t="n"/>
      <c r="J17" s="50" t="n"/>
      <c r="K17" s="50" t="n"/>
    </row>
    <row r="18">
      <c r="A18" s="50" t="n"/>
      <c r="B18" s="50" t="n"/>
      <c r="C18" s="50" t="n"/>
      <c r="D18" s="50" t="n"/>
      <c r="E18" s="50" t="n"/>
      <c r="F18" s="50" t="n"/>
      <c r="G18" s="50" t="n"/>
      <c r="H18" s="50" t="n"/>
      <c r="I18" s="50" t="n"/>
      <c r="J18" s="50" t="n"/>
      <c r="K18" s="50" t="n"/>
    </row>
    <row r="19">
      <c r="A19" s="50" t="n"/>
      <c r="B19" s="50" t="n"/>
      <c r="C19" s="50" t="n"/>
      <c r="D19" s="50" t="n"/>
      <c r="E19" s="50" t="n"/>
      <c r="F19" s="50" t="n"/>
      <c r="G19" s="50" t="n"/>
      <c r="H19" s="50" t="n"/>
      <c r="I19" s="50" t="n"/>
      <c r="J19" s="50" t="n"/>
      <c r="K19" s="50" t="n"/>
    </row>
    <row r="20">
      <c r="A20" s="50" t="n"/>
      <c r="B20" s="50" t="n"/>
      <c r="C20" s="50" t="n"/>
      <c r="D20" s="50" t="n"/>
      <c r="E20" s="50" t="n"/>
      <c r="F20" s="50" t="n"/>
      <c r="G20" s="50" t="n"/>
      <c r="H20" s="50" t="n"/>
      <c r="I20" s="50" t="n"/>
      <c r="J20" s="50" t="n"/>
      <c r="K20" s="50" t="n"/>
    </row>
    <row r="21">
      <c r="A21" s="50" t="n"/>
      <c r="B21" s="50" t="n"/>
      <c r="C21" s="50" t="n"/>
      <c r="D21" s="50" t="n"/>
      <c r="E21" s="50" t="n"/>
      <c r="F21" s="50" t="n"/>
      <c r="G21" s="50" t="n"/>
      <c r="H21" s="50" t="n"/>
      <c r="I21" s="50" t="n"/>
      <c r="J21" s="50" t="n"/>
      <c r="K21" s="50" t="n"/>
    </row>
    <row r="22">
      <c r="A22" s="50" t="n"/>
      <c r="B22" s="50" t="n"/>
      <c r="C22" s="50" t="n"/>
      <c r="D22" s="50" t="n"/>
      <c r="E22" s="50" t="n"/>
      <c r="F22" s="50" t="n"/>
      <c r="G22" s="50" t="n"/>
      <c r="H22" s="50" t="n"/>
      <c r="I22" s="50" t="n"/>
      <c r="J22" s="50" t="n"/>
      <c r="K22" s="50" t="n"/>
    </row>
    <row r="23">
      <c r="A23" s="50" t="n"/>
      <c r="B23" s="50" t="n"/>
      <c r="C23" s="50" t="n"/>
      <c r="D23" s="50" t="n"/>
      <c r="E23" s="50" t="n"/>
      <c r="F23" s="50" t="n"/>
      <c r="G23" s="50" t="n"/>
      <c r="H23" s="50" t="n"/>
      <c r="I23" s="50" t="n"/>
      <c r="J23" s="50" t="n"/>
      <c r="K23" s="50" t="n"/>
    </row>
    <row r="24">
      <c r="A24" s="50" t="n"/>
      <c r="B24" s="50" t="n"/>
      <c r="C24" s="50" t="n"/>
      <c r="D24" s="50" t="n"/>
      <c r="E24" s="50" t="n"/>
      <c r="F24" s="50" t="n"/>
      <c r="G24" s="50" t="n"/>
      <c r="H24" s="50" t="n"/>
      <c r="I24" s="50" t="n"/>
      <c r="J24" s="50" t="n"/>
      <c r="K24" s="50" t="n"/>
    </row>
    <row r="25">
      <c r="A25" s="50" t="n"/>
      <c r="B25" s="50" t="n"/>
      <c r="C25" s="50" t="n"/>
      <c r="D25" s="50" t="n"/>
      <c r="E25" s="50" t="n"/>
      <c r="F25" s="50" t="n"/>
      <c r="G25" s="50" t="n"/>
      <c r="H25" s="50" t="n"/>
      <c r="I25" s="50" t="n"/>
      <c r="J25" s="50" t="n"/>
      <c r="K25" s="50" t="n"/>
    </row>
    <row r="26">
      <c r="A26" s="50" t="n"/>
      <c r="B26" s="50" t="n"/>
      <c r="C26" s="50" t="n"/>
      <c r="D26" s="50" t="n"/>
      <c r="E26" s="50" t="n"/>
      <c r="F26" s="50" t="n"/>
      <c r="G26" s="50" t="n"/>
      <c r="H26" s="50" t="n"/>
      <c r="I26" s="50" t="n"/>
      <c r="J26" s="50" t="n"/>
      <c r="K26" s="50" t="n"/>
    </row>
    <row r="27">
      <c r="A27" s="50" t="n"/>
      <c r="B27" s="50" t="n"/>
      <c r="C27" s="50" t="n"/>
      <c r="D27" s="50" t="n"/>
      <c r="E27" s="50" t="n"/>
      <c r="F27" s="50" t="n"/>
      <c r="G27" s="50" t="n"/>
      <c r="H27" s="50" t="n"/>
      <c r="I27" s="50" t="n"/>
      <c r="J27" s="50" t="n"/>
      <c r="K27" s="50" t="n"/>
    </row>
    <row r="28">
      <c r="A28" s="50" t="n"/>
      <c r="B28" s="50" t="n"/>
      <c r="C28" s="50" t="n"/>
      <c r="D28" s="50" t="n"/>
      <c r="E28" s="50" t="n"/>
      <c r="F28" s="50" t="n"/>
      <c r="G28" s="50" t="n"/>
      <c r="H28" s="50" t="n"/>
      <c r="I28" s="50" t="n"/>
      <c r="J28" s="50" t="n"/>
      <c r="K28" s="50" t="n"/>
    </row>
    <row r="29">
      <c r="A29" s="50" t="n"/>
      <c r="B29" s="50" t="n"/>
      <c r="C29" s="50" t="n"/>
      <c r="D29" s="50" t="n"/>
      <c r="E29" s="50" t="n"/>
      <c r="F29" s="50" t="n"/>
      <c r="G29" s="50" t="n"/>
      <c r="H29" s="50" t="n"/>
      <c r="I29" s="50" t="n"/>
      <c r="J29" s="50" t="n"/>
      <c r="K29" s="50" t="n"/>
    </row>
    <row r="30">
      <c r="A30" s="50" t="n"/>
      <c r="B30" s="50" t="n"/>
      <c r="C30" s="50" t="n"/>
      <c r="D30" s="50" t="n"/>
      <c r="E30" s="50" t="n"/>
      <c r="F30" s="50" t="n"/>
      <c r="G30" s="50" t="n"/>
      <c r="H30" s="50" t="n"/>
      <c r="I30" s="50" t="n"/>
      <c r="J30" s="50" t="n"/>
      <c r="K30" s="50" t="n"/>
    </row>
    <row r="31">
      <c r="A31" s="50" t="n"/>
      <c r="B31" s="50" t="n"/>
      <c r="C31" s="50" t="n"/>
      <c r="D31" s="50" t="n"/>
      <c r="E31" s="50" t="n"/>
      <c r="F31" s="50" t="n"/>
      <c r="G31" s="50" t="n"/>
      <c r="H31" s="50" t="n"/>
      <c r="I31" s="50" t="n"/>
      <c r="J31" s="50" t="n"/>
      <c r="K31" s="50" t="n"/>
    </row>
    <row r="32">
      <c r="A32" s="50" t="n"/>
      <c r="B32" s="50" t="n"/>
      <c r="C32" s="50" t="n"/>
      <c r="D32" s="50" t="n"/>
      <c r="E32" s="50" t="n"/>
      <c r="F32" s="50" t="n"/>
      <c r="G32" s="50" t="n"/>
      <c r="H32" s="50" t="n"/>
      <c r="I32" s="50" t="n"/>
      <c r="J32" s="50" t="n"/>
      <c r="K32" s="50" t="n"/>
    </row>
    <row r="33">
      <c r="A33" s="50" t="n"/>
      <c r="B33" s="50" t="n"/>
      <c r="C33" s="50" t="n"/>
      <c r="D33" s="50" t="n"/>
      <c r="E33" s="50" t="n"/>
      <c r="F33" s="50" t="n"/>
      <c r="G33" s="50" t="n"/>
      <c r="H33" s="50" t="n"/>
      <c r="I33" s="50" t="n"/>
      <c r="J33" s="50" t="n"/>
      <c r="K33" s="50" t="n"/>
    </row>
    <row r="34">
      <c r="A34" s="50" t="n"/>
      <c r="B34" s="50" t="n"/>
      <c r="C34" s="50" t="n"/>
      <c r="D34" s="50" t="n"/>
      <c r="E34" s="50" t="n"/>
      <c r="F34" s="50" t="n"/>
      <c r="G34" s="50" t="n"/>
      <c r="H34" s="50" t="n"/>
      <c r="I34" s="50" t="n"/>
      <c r="J34" s="50" t="n"/>
      <c r="K34" s="50" t="n"/>
    </row>
    <row r="35">
      <c r="A35" s="50" t="n"/>
      <c r="B35" s="50" t="n"/>
      <c r="C35" s="50" t="n"/>
      <c r="D35" s="50" t="n"/>
      <c r="E35" s="50" t="n"/>
      <c r="F35" s="50" t="n"/>
      <c r="G35" s="50" t="n"/>
      <c r="H35" s="50" t="n"/>
      <c r="I35" s="50" t="n"/>
      <c r="J35" s="50" t="n"/>
      <c r="K35" s="50" t="n"/>
    </row>
    <row r="36">
      <c r="A36" s="50" t="n"/>
      <c r="B36" s="50" t="n"/>
      <c r="C36" s="50" t="n"/>
      <c r="D36" s="50" t="n"/>
      <c r="E36" s="50" t="n"/>
      <c r="F36" s="50" t="n"/>
      <c r="G36" s="50" t="n"/>
      <c r="H36" s="50" t="n"/>
      <c r="I36" s="50" t="n"/>
      <c r="J36" s="50" t="n"/>
      <c r="K36" s="50" t="n"/>
    </row>
    <row r="37">
      <c r="A37" s="50" t="n"/>
      <c r="B37" s="50" t="n"/>
      <c r="C37" s="50" t="n"/>
      <c r="D37" s="50" t="n"/>
      <c r="E37" s="50" t="n"/>
      <c r="F37" s="50" t="n"/>
      <c r="G37" s="50" t="n"/>
      <c r="H37" s="50" t="n"/>
      <c r="I37" s="50" t="n"/>
      <c r="J37" s="50" t="n"/>
      <c r="K37" s="50" t="n"/>
    </row>
    <row r="38">
      <c r="A38" s="50" t="n"/>
      <c r="B38" s="50" t="n"/>
      <c r="C38" s="50" t="n"/>
      <c r="D38" s="50" t="n"/>
      <c r="E38" s="50" t="n"/>
      <c r="F38" s="50" t="n"/>
      <c r="G38" s="50" t="n"/>
      <c r="H38" s="50" t="n"/>
      <c r="I38" s="50" t="n"/>
      <c r="J38" s="50" t="n"/>
      <c r="K38" s="50" t="n"/>
    </row>
    <row r="39">
      <c r="A39" s="50" t="n"/>
      <c r="B39" s="50" t="n"/>
      <c r="C39" s="50" t="n"/>
      <c r="D39" s="50" t="n"/>
      <c r="E39" s="50" t="n"/>
      <c r="F39" s="50" t="n"/>
      <c r="G39" s="50" t="n"/>
      <c r="H39" s="50" t="n"/>
      <c r="I39" s="50" t="n"/>
      <c r="J39" s="50" t="n"/>
      <c r="K39" s="50" t="n"/>
    </row>
    <row r="40">
      <c r="A40" s="50" t="n"/>
      <c r="B40" s="50" t="n"/>
      <c r="C40" s="50" t="n"/>
      <c r="D40" s="50" t="n"/>
      <c r="E40" s="50" t="n"/>
      <c r="F40" s="50" t="n"/>
      <c r="G40" s="50" t="n"/>
      <c r="H40" s="50" t="n"/>
      <c r="I40" s="50" t="n"/>
      <c r="J40" s="50" t="n"/>
      <c r="K40" s="50" t="n"/>
    </row>
    <row r="41">
      <c r="A41" s="50" t="n"/>
      <c r="B41" s="50" t="n"/>
      <c r="C41" s="50" t="n"/>
      <c r="D41" s="50" t="n"/>
      <c r="E41" s="50" t="n"/>
      <c r="F41" s="50" t="n"/>
      <c r="G41" s="50" t="n"/>
      <c r="H41" s="50" t="n"/>
      <c r="I41" s="50" t="n"/>
      <c r="J41" s="50" t="n"/>
      <c r="K41" s="50" t="n"/>
    </row>
    <row r="42">
      <c r="A42" s="50" t="n"/>
      <c r="B42" s="50" t="n"/>
      <c r="C42" s="50" t="n"/>
      <c r="D42" s="50" t="n"/>
      <c r="E42" s="50" t="n"/>
      <c r="F42" s="50" t="n"/>
      <c r="G42" s="50" t="n"/>
      <c r="H42" s="50" t="n"/>
      <c r="I42" s="50" t="n"/>
      <c r="J42" s="50" t="n"/>
      <c r="K42" s="50" t="n"/>
    </row>
    <row r="43">
      <c r="A43" s="50" t="n"/>
      <c r="B43" s="50" t="n"/>
      <c r="C43" s="50" t="n"/>
      <c r="D43" s="50" t="n"/>
      <c r="E43" s="50" t="n"/>
      <c r="F43" s="50" t="n"/>
      <c r="G43" s="50" t="n"/>
      <c r="H43" s="50" t="n"/>
      <c r="I43" s="50" t="n"/>
      <c r="J43" s="50" t="n"/>
      <c r="K43" s="50" t="n"/>
    </row>
    <row r="44">
      <c r="A44" s="50" t="n"/>
      <c r="B44" s="50" t="n"/>
      <c r="C44" s="50" t="n"/>
      <c r="D44" s="50" t="n"/>
      <c r="E44" s="50" t="n"/>
      <c r="F44" s="50" t="n"/>
      <c r="G44" s="50" t="n"/>
      <c r="H44" s="50" t="n"/>
      <c r="I44" s="50" t="n"/>
      <c r="J44" s="50" t="n"/>
      <c r="K44" s="50" t="n"/>
    </row>
    <row r="45">
      <c r="A45" s="50" t="n"/>
      <c r="B45" s="50" t="n"/>
      <c r="C45" s="50" t="n"/>
      <c r="D45" s="50" t="n"/>
      <c r="E45" s="50" t="n"/>
      <c r="F45" s="50" t="n"/>
      <c r="G45" s="50" t="n"/>
      <c r="H45" s="50" t="n"/>
      <c r="I45" s="50" t="n"/>
      <c r="J45" s="50" t="n"/>
      <c r="K45" s="50" t="n"/>
    </row>
    <row r="46">
      <c r="A46" s="50" t="n"/>
      <c r="B46" s="50" t="n"/>
      <c r="C46" s="50" t="n"/>
      <c r="D46" s="50" t="n"/>
      <c r="E46" s="50" t="n"/>
      <c r="F46" s="50" t="n"/>
      <c r="G46" s="50" t="n"/>
      <c r="H46" s="50" t="n"/>
      <c r="I46" s="50" t="n"/>
      <c r="J46" s="50" t="n"/>
      <c r="K46" s="50" t="n"/>
    </row>
    <row r="47">
      <c r="A47" s="50" t="n"/>
      <c r="B47" s="50" t="n"/>
      <c r="C47" s="50" t="n"/>
      <c r="D47" s="50" t="n"/>
      <c r="E47" s="50" t="n"/>
      <c r="F47" s="50" t="n"/>
      <c r="G47" s="50" t="n"/>
      <c r="H47" s="50" t="n"/>
      <c r="I47" s="50" t="n"/>
      <c r="J47" s="50" t="n"/>
      <c r="K47" s="50" t="n"/>
    </row>
    <row r="48">
      <c r="A48" s="50" t="n"/>
      <c r="B48" s="50" t="n"/>
      <c r="C48" s="50" t="n"/>
      <c r="D48" s="50" t="n"/>
      <c r="E48" s="50" t="n"/>
      <c r="F48" s="50" t="n"/>
      <c r="G48" s="50" t="n"/>
      <c r="H48" s="50" t="n"/>
      <c r="I48" s="50" t="n"/>
      <c r="J48" s="50" t="n"/>
      <c r="K48" s="50" t="n"/>
    </row>
    <row r="49">
      <c r="A49" s="50" t="n"/>
      <c r="B49" s="50" t="n"/>
      <c r="C49" s="50" t="n"/>
      <c r="D49" s="50" t="n"/>
      <c r="E49" s="50" t="n"/>
      <c r="F49" s="50" t="n"/>
      <c r="G49" s="50" t="n"/>
      <c r="H49" s="50" t="n"/>
      <c r="I49" s="50" t="n"/>
      <c r="J49" s="50" t="n"/>
      <c r="K49" s="50" t="n"/>
    </row>
    <row r="50">
      <c r="A50" s="50" t="n"/>
      <c r="B50" s="50" t="n"/>
      <c r="C50" s="50" t="n"/>
      <c r="D50" s="50" t="n"/>
      <c r="E50" s="50" t="n"/>
      <c r="F50" s="50" t="n"/>
      <c r="G50" s="50" t="n"/>
      <c r="H50" s="50" t="n"/>
      <c r="I50" s="50" t="n"/>
      <c r="J50" s="50" t="n"/>
      <c r="K50" s="50" t="n"/>
    </row>
    <row r="51">
      <c r="A51" s="50" t="n"/>
      <c r="B51" s="50" t="n"/>
      <c r="C51" s="50" t="n"/>
      <c r="D51" s="50" t="n"/>
      <c r="E51" s="50" t="n"/>
      <c r="F51" s="50" t="n"/>
      <c r="G51" s="50" t="n"/>
      <c r="H51" s="50" t="n"/>
      <c r="I51" s="50" t="n"/>
      <c r="J51" s="50" t="n"/>
      <c r="K51" s="50" t="n"/>
    </row>
    <row r="52">
      <c r="A52" s="50" t="n"/>
      <c r="B52" s="50" t="n"/>
      <c r="C52" s="50" t="n"/>
      <c r="D52" s="50" t="n"/>
      <c r="E52" s="50" t="n"/>
      <c r="F52" s="50" t="n"/>
      <c r="G52" s="50" t="n"/>
      <c r="H52" s="50" t="n"/>
      <c r="I52" s="50" t="n"/>
      <c r="J52" s="50" t="n"/>
      <c r="K52" s="50" t="n"/>
    </row>
    <row r="53">
      <c r="A53" s="50" t="n"/>
      <c r="B53" s="50" t="n"/>
      <c r="C53" s="50" t="n"/>
      <c r="D53" s="50" t="n"/>
      <c r="E53" s="50" t="n"/>
      <c r="F53" s="50" t="n"/>
      <c r="G53" s="50" t="n"/>
      <c r="H53" s="50" t="n"/>
      <c r="I53" s="50" t="n"/>
      <c r="J53" s="50" t="n"/>
      <c r="K53" s="50" t="n"/>
    </row>
    <row r="54">
      <c r="A54" s="50" t="n"/>
      <c r="B54" s="50" t="n"/>
      <c r="C54" s="50" t="n"/>
      <c r="D54" s="50" t="n"/>
      <c r="E54" s="50" t="n"/>
      <c r="F54" s="50" t="n"/>
      <c r="G54" s="50" t="n"/>
      <c r="H54" s="50" t="n"/>
      <c r="I54" s="50" t="n"/>
      <c r="J54" s="50" t="n"/>
      <c r="K54" s="50" t="n"/>
    </row>
    <row r="55">
      <c r="A55" s="50" t="n"/>
      <c r="B55" s="50" t="n"/>
      <c r="C55" s="50" t="n"/>
      <c r="D55" s="50" t="n"/>
      <c r="E55" s="50" t="n"/>
      <c r="F55" s="50" t="n"/>
      <c r="G55" s="50" t="n"/>
      <c r="H55" s="50" t="n"/>
      <c r="I55" s="50" t="n"/>
      <c r="J55" s="50" t="n"/>
      <c r="K55" s="50" t="n"/>
    </row>
    <row r="56">
      <c r="A56" s="50" t="n"/>
      <c r="B56" s="50" t="n"/>
      <c r="C56" s="50" t="n"/>
      <c r="D56" s="50" t="n"/>
      <c r="E56" s="50" t="n"/>
      <c r="F56" s="50" t="n"/>
      <c r="G56" s="50" t="n"/>
      <c r="H56" s="50" t="n"/>
      <c r="I56" s="50" t="n"/>
      <c r="J56" s="50" t="n"/>
      <c r="K56" s="50" t="n"/>
    </row>
    <row r="57">
      <c r="A57" s="50" t="n"/>
      <c r="B57" s="50" t="n"/>
      <c r="C57" s="50" t="n"/>
      <c r="D57" s="50" t="n"/>
      <c r="E57" s="50" t="n"/>
      <c r="F57" s="50" t="n"/>
      <c r="G57" s="50" t="n"/>
      <c r="H57" s="50" t="n"/>
      <c r="I57" s="50" t="n"/>
      <c r="J57" s="50" t="n"/>
      <c r="K57" s="50" t="n"/>
    </row>
    <row r="58">
      <c r="A58" s="50" t="n"/>
      <c r="B58" s="50" t="n"/>
      <c r="C58" s="50" t="n"/>
      <c r="D58" s="50" t="n"/>
      <c r="E58" s="50" t="n"/>
      <c r="F58" s="50" t="n"/>
      <c r="G58" s="50" t="n"/>
      <c r="H58" s="50" t="n"/>
      <c r="I58" s="50" t="n"/>
      <c r="J58" s="50" t="n"/>
      <c r="K58" s="50" t="n"/>
    </row>
    <row r="59">
      <c r="A59" s="50" t="n"/>
      <c r="B59" s="50" t="n"/>
      <c r="C59" s="50" t="n"/>
      <c r="D59" s="50" t="n"/>
      <c r="E59" s="50" t="n"/>
      <c r="F59" s="50" t="n"/>
      <c r="G59" s="50" t="n"/>
      <c r="H59" s="50" t="n"/>
      <c r="I59" s="50" t="n"/>
      <c r="J59" s="50" t="n"/>
      <c r="K59" s="50" t="n"/>
    </row>
    <row r="60">
      <c r="A60" s="50" t="n"/>
      <c r="B60" s="50" t="n"/>
      <c r="C60" s="50" t="n"/>
      <c r="D60" s="50" t="n"/>
      <c r="E60" s="50" t="n"/>
      <c r="F60" s="50" t="n"/>
      <c r="G60" s="50" t="n"/>
      <c r="H60" s="50" t="n"/>
      <c r="I60" s="50" t="n"/>
      <c r="J60" s="50" t="n"/>
      <c r="K60" s="50" t="n"/>
    </row>
  </sheetData>
  <mergeCells count="1">
    <mergeCell ref="A1:F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cols>
    <col width="12" customWidth="1" style="58" min="1" max="1"/>
    <col width="22" customWidth="1" style="58" min="2" max="2"/>
    <col width="23" customWidth="1" style="58" min="3" max="3"/>
    <col width="14" customWidth="1" style="58" min="4" max="4"/>
    <col width="14" customWidth="1" style="58" min="5" max="5"/>
    <col width="14" customWidth="1" style="58" min="6" max="6"/>
    <col width="28" customWidth="1" style="58" min="7" max="7"/>
    <col width="42" customWidth="1" style="58" min="8" max="8"/>
    <col width="46" customWidth="1" style="58" min="9" max="9"/>
    <col width="34" customWidth="1" style="58" min="10" max="10"/>
  </cols>
  <sheetData>
    <row r="1">
      <c r="A1" s="226" t="inlineStr">
        <is>
          <t>MCU Pin Assignment Tracker</t>
        </is>
      </c>
      <c r="B1" s="227" t="n"/>
      <c r="C1" s="227" t="n"/>
      <c r="D1" s="227" t="n"/>
      <c r="E1" s="227" t="n"/>
      <c r="F1" s="227" t="n"/>
      <c r="G1" s="227" t="n"/>
      <c r="H1" s="227" t="n"/>
      <c r="I1" s="50" t="n"/>
      <c r="J1" s="50" t="n"/>
      <c r="K1" s="50" t="n"/>
    </row>
    <row r="2">
      <c r="A2" s="50" t="n"/>
      <c r="B2" s="50" t="n"/>
      <c r="C2" s="50" t="n"/>
      <c r="D2" s="50" t="n"/>
      <c r="E2" s="50" t="n"/>
      <c r="F2" s="50" t="n"/>
      <c r="G2" s="50" t="n"/>
      <c r="H2" s="50" t="n"/>
      <c r="I2" s="50" t="n"/>
      <c r="J2" s="50" t="n"/>
      <c r="K2" s="50" t="n"/>
    </row>
    <row r="3">
      <c r="A3" s="83" t="inlineStr">
        <is>
          <t>MCU Pin</t>
        </is>
      </c>
      <c r="B3" s="83" t="inlineStr">
        <is>
          <t>CubeMX Function</t>
        </is>
      </c>
      <c r="C3" s="83" t="inlineStr">
        <is>
          <t>Project Signal</t>
        </is>
      </c>
      <c r="D3" s="83" t="inlineStr">
        <is>
          <t>Peripheral</t>
        </is>
      </c>
      <c r="E3" s="83" t="inlineStr">
        <is>
          <t>Direction</t>
        </is>
      </c>
      <c r="F3" s="83" t="inlineStr">
        <is>
          <t>Status</t>
        </is>
      </c>
      <c r="G3" s="83" t="inlineStr">
        <is>
          <t>Connector / Destination</t>
        </is>
      </c>
      <c r="H3" s="83" t="inlineStr">
        <is>
          <t>Notes</t>
        </is>
      </c>
      <c r="I3" s="83" t="inlineStr">
        <is>
          <t>Design Rationale</t>
        </is>
      </c>
      <c r="J3" s="83" t="inlineStr">
        <is>
          <t>Source</t>
        </is>
      </c>
      <c r="K3" s="50" t="n"/>
    </row>
    <row r="4">
      <c r="A4" s="50" t="inlineStr">
        <is>
          <t>PA13</t>
        </is>
      </c>
      <c r="B4" s="50" t="inlineStr">
        <is>
          <t>SYS_JTMS-SWDIO</t>
        </is>
      </c>
      <c r="C4" s="50" t="inlineStr">
        <is>
          <t>SWDIO</t>
        </is>
      </c>
      <c r="D4" s="50" t="inlineStr">
        <is>
          <t>SYS</t>
        </is>
      </c>
      <c r="E4" s="50" t="inlineStr">
        <is>
          <t>Bidirectional</t>
        </is>
      </c>
      <c r="F4" s="52" t="inlineStr">
        <is>
          <t>Confirmed</t>
        </is>
      </c>
      <c r="G4" s="50" t="inlineStr">
        <is>
          <t>Onboard STM programming header</t>
        </is>
      </c>
      <c r="H4" s="50" t="inlineStr">
        <is>
          <t>SYS &gt; Debug = Serial Wire; no external pull resistor required</t>
        </is>
      </c>
      <c r="I4" s="50" t="inlineStr">
        <is>
          <t>PA13/SWDIO has an internal pull-up after reset. For a normal short SWD connection, route directly to the programming header; adding a 10 kOhm pull-down would fight the intended idle state.</t>
        </is>
      </c>
      <c r="J4" s="50" t="inlineStr">
        <is>
          <t>https://www.st.com/resource/en/reference_manual/dm00355726.pdf</t>
        </is>
      </c>
      <c r="K4" s="50" t="n"/>
    </row>
    <row r="5">
      <c r="A5" s="50" t="inlineStr">
        <is>
          <t>PA14</t>
        </is>
      </c>
      <c r="B5" s="50" t="inlineStr">
        <is>
          <t>SYS_JTCK-SWCLK</t>
        </is>
      </c>
      <c r="C5" s="50" t="inlineStr">
        <is>
          <t>SWCLK</t>
        </is>
      </c>
      <c r="D5" s="50" t="inlineStr">
        <is>
          <t>SYS</t>
        </is>
      </c>
      <c r="E5" s="50" t="inlineStr">
        <is>
          <t>Input from debugger</t>
        </is>
      </c>
      <c r="F5" s="52" t="inlineStr">
        <is>
          <t>Confirmed</t>
        </is>
      </c>
      <c r="G5" s="50" t="inlineStr">
        <is>
          <t>Onboard STM programming header</t>
        </is>
      </c>
      <c r="H5" s="50" t="inlineStr">
        <is>
          <t>SYS &gt; Debug = Serial Wire; no external pull resistor required</t>
        </is>
      </c>
      <c r="I5" s="50" t="inlineStr">
        <is>
          <t>PA14/SWCLK has an internal pull-down after reset. For a normal short SWD connection, route directly to the programming header; no added 10 kOhm pull-down is needed.</t>
        </is>
      </c>
      <c r="J5" s="50" t="inlineStr">
        <is>
          <t>https://www.st.com/resource/en/reference_manual/dm00355726.pdf</t>
        </is>
      </c>
      <c r="K5" s="50" t="n"/>
    </row>
    <row r="6">
      <c r="A6" s="50" t="inlineStr">
        <is>
          <t>PG10</t>
        </is>
      </c>
      <c r="B6" s="50" t="inlineStr">
        <is>
          <t>NRST</t>
        </is>
      </c>
      <c r="C6" s="50" t="inlineStr">
        <is>
          <t>NRST</t>
        </is>
      </c>
      <c r="D6" s="50" t="inlineStr">
        <is>
          <t>SYS</t>
        </is>
      </c>
      <c r="E6" s="50" t="inlineStr">
        <is>
          <t>Input</t>
        </is>
      </c>
      <c r="F6" s="53" t="inlineStr">
        <is>
          <t>Confirmed</t>
        </is>
      </c>
      <c r="G6" s="50" t="inlineStr">
        <is>
          <t>Onboard STM programming header</t>
        </is>
      </c>
      <c r="H6" s="50" t="inlineStr">
        <is>
          <t>Hardware reset; route to SWD header; 100 nF capacitor from NRST to GND recommended; no external pull-up required</t>
        </is>
      </c>
      <c r="I6" s="50" t="inlineStr">
        <is>
          <t>NRST has an internal pull-up. Do not add a pull-down. ST's STM32G4 reference design uses a 100 nF capacitor to GND and recommends bringing NRST to the debug connector so the programmer can reset the MCU.</t>
        </is>
      </c>
      <c r="J6" s="50" t="inlineStr">
        <is>
          <t>https://www.st.com/resource/en/application_note/an5093-getting-started-with-stm32g4-series--hardware-development-boards-stmicroelectronics.pdf</t>
        </is>
      </c>
      <c r="K6" s="50" t="n"/>
    </row>
    <row r="7">
      <c r="A7" s="50" t="n"/>
      <c r="B7" s="50" t="n"/>
      <c r="C7" s="50" t="n"/>
      <c r="D7" s="50" t="n"/>
      <c r="E7" s="50" t="n"/>
      <c r="F7" s="50" t="n"/>
      <c r="G7" s="50" t="n"/>
      <c r="H7" s="50" t="n"/>
      <c r="I7" s="50" t="n"/>
      <c r="J7" s="50" t="n"/>
      <c r="K7" s="50" t="n"/>
    </row>
    <row r="8">
      <c r="A8" s="50" t="inlineStr">
        <is>
          <t>PB10</t>
        </is>
      </c>
      <c r="B8" s="50" t="inlineStr">
        <is>
          <t>USART3_TX</t>
        </is>
      </c>
      <c r="C8" s="50" t="inlineStr">
        <is>
          <t>PI_RX</t>
        </is>
      </c>
      <c r="D8" s="50" t="inlineStr">
        <is>
          <t>USART3</t>
        </is>
      </c>
      <c r="E8" s="50" t="inlineStr">
        <is>
          <t>Output</t>
        </is>
      </c>
      <c r="F8" s="53" t="inlineStr">
        <is>
          <t>Confirmed</t>
        </is>
      </c>
      <c r="G8" s="50" t="inlineStr">
        <is>
          <t>Pi 6-pin header</t>
        </is>
      </c>
      <c r="H8" s="50" t="inlineStr">
        <is>
          <t>USART3 asynchronous TX; AF push-pull; low/medium GPIO speed; no pull required</t>
        </is>
      </c>
      <c r="I8" s="50" t="inlineStr">
        <is>
          <t>Asynchronous UART matches Raspberry Pi serial: no shared clock wire is needed. Start/stop bits and the agreed 115200 baud recover timing. This saves a clock pin and is the normal Pi UART interface. PB10/PB11 also avoid consuming planned PWM pins.</t>
        </is>
      </c>
      <c r="J8" s="50" t="inlineStr">
        <is>
          <t>https://www.st.com/resource/en/datasheet/stm32g474re.pdf</t>
        </is>
      </c>
      <c r="K8" s="50" t="n"/>
    </row>
    <row r="9">
      <c r="A9" s="50" t="inlineStr">
        <is>
          <t>PB11</t>
        </is>
      </c>
      <c r="B9" s="50" t="inlineStr">
        <is>
          <t>USART3_RX</t>
        </is>
      </c>
      <c r="C9" s="50" t="inlineStr">
        <is>
          <t>PI_TX</t>
        </is>
      </c>
      <c r="D9" s="50" t="inlineStr">
        <is>
          <t>USART3</t>
        </is>
      </c>
      <c r="E9" s="50" t="inlineStr">
        <is>
          <t>Input</t>
        </is>
      </c>
      <c r="F9" s="53" t="inlineStr">
        <is>
          <t>Confirmed</t>
        </is>
      </c>
      <c r="G9" s="50" t="inlineStr">
        <is>
          <t>Pi 6-pin header</t>
        </is>
      </c>
      <c r="H9" s="50" t="inlineStr">
        <is>
          <t>USART3 asynchronous RX; internal pull-up recommended so disconnected RX remains at idle-high</t>
        </is>
      </c>
      <c r="I9" s="50" t="inlineStr">
        <is>
          <t>RX is independent of TX and receives serial frames using the same baud setting. A pull-up prevents a floating input when the Pi is off/disconnected. PB10/PB11 preserve the planned timer channels.</t>
        </is>
      </c>
      <c r="J9" s="50" t="inlineStr">
        <is>
          <t>https://www.st.com/resource/en/datasheet/stm32g474re.pdf</t>
        </is>
      </c>
      <c r="K9" s="50" t="n"/>
    </row>
    <row r="10">
      <c r="A10" s="50" t="n"/>
      <c r="B10" s="50" t="n"/>
      <c r="C10" s="50" t="n"/>
      <c r="D10" s="50" t="n"/>
      <c r="E10" s="50" t="n"/>
      <c r="F10" s="53" t="n"/>
      <c r="G10" s="50" t="n"/>
      <c r="H10" s="50" t="inlineStr">
        <is>
          <t>AF push-pull; pull-up recommended on RX</t>
        </is>
      </c>
      <c r="I10" s="50" t="inlineStr">
        <is>
          <t>Keeps RX at UART idle-high if the Pi is disconnected or powered down; preserves PA2/PA3 for the remaining servo outputs and PB3/PB4 for a second UART</t>
        </is>
      </c>
      <c r="J10" s="50" t="inlineStr">
        <is>
          <t>https://www.st.com/resource/en/datasheet/stm32g474re.pdf</t>
        </is>
      </c>
      <c r="K10" s="50" t="n"/>
    </row>
    <row r="11">
      <c r="A11" s="50" t="inlineStr">
        <is>
          <t>PA8</t>
        </is>
      </c>
      <c r="B11" s="50" t="inlineStr">
        <is>
          <t>TIM1_CH1</t>
        </is>
      </c>
      <c r="C11" s="50" t="inlineStr">
        <is>
          <t>Accel Motor PWM1</t>
        </is>
      </c>
      <c r="D11" s="50" t="inlineStr">
        <is>
          <t>TIM1</t>
        </is>
      </c>
      <c r="E11" s="50" t="inlineStr">
        <is>
          <t>Output</t>
        </is>
      </c>
      <c r="F11" s="53" t="inlineStr">
        <is>
          <t>Confirmed</t>
        </is>
      </c>
      <c r="G11" s="50" t="inlineStr">
        <is>
          <t>Accel Motor1 header</t>
        </is>
      </c>
      <c r="H11" s="50" t="inlineStr">
        <is>
          <t>TIM1_CH1; PWM Generation CH1; 20 kHz; initial CCR/pulse = 0; active high; CKD No Division; dithering disabled</t>
        </is>
      </c>
      <c r="I11" s="50" t="inlineStr">
        <is>
          <t>TIM1 provides four channels sharing one period, ideal for four motor PWM signals that use the same switching frequency</t>
        </is>
      </c>
      <c r="J11" s="50" t="inlineStr">
        <is>
          <t>https://www.st.com/resource/en/datasheet/stm32g474re.pdf</t>
        </is>
      </c>
      <c r="K11" s="50" t="n"/>
    </row>
    <row r="12">
      <c r="A12" s="50" t="inlineStr">
        <is>
          <t>PA9</t>
        </is>
      </c>
      <c r="B12" s="50" t="inlineStr">
        <is>
          <t>TIM1_CH2</t>
        </is>
      </c>
      <c r="C12" s="50" t="inlineStr">
        <is>
          <t>Accel Motor PWM2</t>
        </is>
      </c>
      <c r="D12" s="50" t="inlineStr">
        <is>
          <t>TIM1</t>
        </is>
      </c>
      <c r="E12" s="50" t="inlineStr">
        <is>
          <t>Output</t>
        </is>
      </c>
      <c r="F12" s="53" t="inlineStr">
        <is>
          <t>Confirmed</t>
        </is>
      </c>
      <c r="G12" s="50" t="inlineStr">
        <is>
          <t>Accel Motor1 header</t>
        </is>
      </c>
      <c r="H12" s="50" t="inlineStr">
        <is>
          <t>TIM1_CH2; PWM Generation CH2; 20 kHz; initial CCR/pulse = 0; active high; CKD No Division; dithering disabled</t>
        </is>
      </c>
      <c r="I12" s="50" t="inlineStr">
        <is>
          <t>Same timer as Accel PWM1 keeps the pair frequency-locked while allowing independent duty cycles</t>
        </is>
      </c>
      <c r="J12" s="50" t="inlineStr">
        <is>
          <t>https://www.st.com/resource/en/datasheet/stm32g474re.pdf</t>
        </is>
      </c>
      <c r="K12" s="50" t="n"/>
    </row>
    <row r="13">
      <c r="A13" s="50" t="inlineStr">
        <is>
          <t>PA10</t>
        </is>
      </c>
      <c r="B13" s="50" t="inlineStr">
        <is>
          <t>TIM1_CH3</t>
        </is>
      </c>
      <c r="C13" s="50" t="inlineStr">
        <is>
          <t>Brake Motor PWM1</t>
        </is>
      </c>
      <c r="D13" s="50" t="inlineStr">
        <is>
          <t>TIM1</t>
        </is>
      </c>
      <c r="E13" s="50" t="inlineStr">
        <is>
          <t>Output</t>
        </is>
      </c>
      <c r="F13" s="53" t="inlineStr">
        <is>
          <t>Confirmed</t>
        </is>
      </c>
      <c r="G13" s="50" t="inlineStr">
        <is>
          <t>Brake Motor1 header</t>
        </is>
      </c>
      <c r="H13" s="50" t="inlineStr">
        <is>
          <t>TIM1_CH3; PWM Generation CH3; 20 kHz; initial CCR/pulse = 0; active high; CKD No Division; dithering disabled</t>
        </is>
      </c>
      <c r="I13" s="50" t="inlineStr">
        <is>
          <t>Uses remaining TIM1 channels efficiently; all four TIM1 outputs can share the motor PWM base frequency</t>
        </is>
      </c>
      <c r="J13" s="50" t="inlineStr">
        <is>
          <t>https://www.st.com/resource/en/datasheet/stm32g474re.pdf</t>
        </is>
      </c>
      <c r="K13" s="50" t="n"/>
    </row>
    <row r="14">
      <c r="A14" s="50" t="inlineStr">
        <is>
          <t>PA11</t>
        </is>
      </c>
      <c r="B14" s="50" t="inlineStr">
        <is>
          <t>TIM1_CH4</t>
        </is>
      </c>
      <c r="C14" s="50" t="inlineStr">
        <is>
          <t>Brake Motor PWM2</t>
        </is>
      </c>
      <c r="D14" s="50" t="inlineStr">
        <is>
          <t>TIM1</t>
        </is>
      </c>
      <c r="E14" s="50" t="inlineStr">
        <is>
          <t>Output</t>
        </is>
      </c>
      <c r="F14" s="53" t="inlineStr">
        <is>
          <t>Confirmed</t>
        </is>
      </c>
      <c r="G14" s="50" t="inlineStr">
        <is>
          <t>Brake Motor1 header</t>
        </is>
      </c>
      <c r="H14" s="50" t="inlineStr">
        <is>
          <t>TIM1_CH4; PWM Generation CH4; 20 kHz; initial CCR/pulse = 0; active high; CKD No Division; dithering disabled</t>
        </is>
      </c>
      <c r="I14" s="50" t="inlineStr">
        <is>
          <t>Completes the four-channel TIM1 motor group without consuming servo timer resources</t>
        </is>
      </c>
      <c r="J14" s="50" t="inlineStr">
        <is>
          <t>https://www.st.com/resource/en/datasheet/stm32g474re.pdf</t>
        </is>
      </c>
      <c r="K14" s="50" t="n"/>
    </row>
    <row r="15">
      <c r="A15" s="50" t="inlineStr">
        <is>
          <t>PA0</t>
        </is>
      </c>
      <c r="B15" s="50" t="inlineStr">
        <is>
          <t>TIM2_CH1</t>
        </is>
      </c>
      <c r="C15" s="50" t="inlineStr">
        <is>
          <t>Steering Motor PWM1</t>
        </is>
      </c>
      <c r="D15" s="50" t="inlineStr">
        <is>
          <t>TIM2</t>
        </is>
      </c>
      <c r="E15" s="50" t="inlineStr">
        <is>
          <t>Output</t>
        </is>
      </c>
      <c r="F15" s="53" t="inlineStr">
        <is>
          <t>Confirmed</t>
        </is>
      </c>
      <c r="G15" s="50" t="inlineStr">
        <is>
          <t>Steering Motor1 header</t>
        </is>
      </c>
      <c r="H15" s="50" t="inlineStr">
        <is>
          <t>TIM2_CH1; 20 kHz; PSC=0; ARR=4999; PWM Mode 1; initial CCR=0; active high; CKD No Division; no timer IRQ</t>
        </is>
      </c>
      <c r="I15" s="50" t="inlineStr">
        <is>
          <t>TIM2 supplies the two additional motor channels; it can be configured to the same PWM frequency as TIM1</t>
        </is>
      </c>
      <c r="J15" s="50" t="inlineStr">
        <is>
          <t>https://www.st.com/resource/en/datasheet/stm32g474re.pdf</t>
        </is>
      </c>
      <c r="K15" s="50" t="n"/>
    </row>
    <row r="16">
      <c r="A16" s="50" t="inlineStr">
        <is>
          <t>PA1</t>
        </is>
      </c>
      <c r="B16" s="50" t="inlineStr">
        <is>
          <t>TIM2_CH2</t>
        </is>
      </c>
      <c r="C16" s="50" t="inlineStr">
        <is>
          <t>Steering Motor PWM2</t>
        </is>
      </c>
      <c r="D16" s="50" t="inlineStr">
        <is>
          <t>TIM2</t>
        </is>
      </c>
      <c r="E16" s="50" t="inlineStr">
        <is>
          <t>Output</t>
        </is>
      </c>
      <c r="F16" s="53" t="inlineStr">
        <is>
          <t>Confirmed</t>
        </is>
      </c>
      <c r="G16" s="50" t="inlineStr">
        <is>
          <t>Steering Motor1 header</t>
        </is>
      </c>
      <c r="H16" s="50" t="inlineStr">
        <is>
          <t>TIM2_CH2; 20 kHz; PSC=0; ARR=4999; PWM Mode 1; initial CCR=0; active high; CKD No Division; no timer IRQ</t>
        </is>
      </c>
      <c r="I16" s="50" t="inlineStr">
        <is>
          <t>Same TIM2 period as Steering PWM1 keeps the steering pair synchronized in frequency</t>
        </is>
      </c>
      <c r="J16" s="50" t="inlineStr">
        <is>
          <t>https://www.st.com/resource/en/datasheet/stm32g474re.pdf</t>
        </is>
      </c>
      <c r="K16" s="50" t="n"/>
    </row>
    <row r="17">
      <c r="A17" s="50" t="inlineStr">
        <is>
          <t>PA4</t>
        </is>
      </c>
      <c r="B17" s="50" t="inlineStr">
        <is>
          <t>GPIO_Output</t>
        </is>
      </c>
      <c r="C17" s="50" t="inlineStr">
        <is>
          <t>Accel Motor EN1</t>
        </is>
      </c>
      <c r="D17" s="50" t="inlineStr">
        <is>
          <t>GPIO</t>
        </is>
      </c>
      <c r="E17" s="50" t="inlineStr">
        <is>
          <t>Output</t>
        </is>
      </c>
      <c r="F17" s="53" t="inlineStr">
        <is>
          <t>Confirmed</t>
        </is>
      </c>
      <c r="G17" s="50" t="inlineStr">
        <is>
          <t>Accel Motor1 header</t>
        </is>
      </c>
      <c r="H17" s="50" t="inlineStr">
        <is>
          <t>GPIO Output; Push-Pull; initial output LOW; No Pull; Low speed; add 10 kOhm external pull-down to GND on EN net</t>
        </is>
      </c>
      <c r="I17" s="50" t="inlineStr">
        <is>
          <t>EN is a static active-high gate, so GPIO is sufficient. LOW is the safe state. External pull-down guarantees disable during MCU reset when most STM32 GPIOs are high-impedance/analog.</t>
        </is>
      </c>
      <c r="J17" s="50" t="inlineStr">
        <is>
          <t>https://www.st.com/resource/en/datasheet/stm32g474re.pdf</t>
        </is>
      </c>
      <c r="K17" s="50" t="n"/>
    </row>
    <row r="18">
      <c r="A18" s="50" t="inlineStr">
        <is>
          <t>PA5</t>
        </is>
      </c>
      <c r="B18" s="50" t="inlineStr">
        <is>
          <t>GPIO_Output</t>
        </is>
      </c>
      <c r="C18" s="50" t="inlineStr">
        <is>
          <t>Accel Motor EN2</t>
        </is>
      </c>
      <c r="D18" s="50" t="inlineStr">
        <is>
          <t>GPIO</t>
        </is>
      </c>
      <c r="E18" s="50" t="inlineStr">
        <is>
          <t>Output</t>
        </is>
      </c>
      <c r="F18" s="53" t="inlineStr">
        <is>
          <t>Confirmed</t>
        </is>
      </c>
      <c r="G18" s="50" t="inlineStr">
        <is>
          <t>Accel Motor1 header</t>
        </is>
      </c>
      <c r="H18" s="50" t="inlineStr">
        <is>
          <t>GPIO Output; Push-Pull; initial output LOW; No Pull; Low speed; add 10 kOhm external pull-down to GND on EN net</t>
        </is>
      </c>
      <c r="I18" s="50" t="inlineStr">
        <is>
          <t>Second half-bridge enable stays independently controllable; firmware can normally switch both EN pins for this motor together. External pull-down prevents floating during reset.</t>
        </is>
      </c>
      <c r="J18" s="50" t="inlineStr">
        <is>
          <t>https://www.st.com/resource/en/datasheet/stm32g474re.pdf</t>
        </is>
      </c>
      <c r="K18" s="50" t="n"/>
    </row>
    <row r="19">
      <c r="A19" s="50" t="inlineStr">
        <is>
          <t>PB12</t>
        </is>
      </c>
      <c r="B19" s="50" t="inlineStr">
        <is>
          <t>GPIO_Output</t>
        </is>
      </c>
      <c r="C19" s="50" t="inlineStr">
        <is>
          <t>Brake Motor EN1</t>
        </is>
      </c>
      <c r="D19" s="50" t="inlineStr">
        <is>
          <t>GPIO</t>
        </is>
      </c>
      <c r="E19" s="50" t="inlineStr">
        <is>
          <t>Output</t>
        </is>
      </c>
      <c r="F19" s="53" t="inlineStr">
        <is>
          <t>Confirmed</t>
        </is>
      </c>
      <c r="G19" s="50" t="inlineStr">
        <is>
          <t>Brake Motor1 header</t>
        </is>
      </c>
      <c r="H19" s="50" t="inlineStr">
        <is>
          <t>GPIO Output; Push-Pull; initial output LOW; No Pull; Low speed; add 10 kOhm external pull-down to GND on EN net</t>
        </is>
      </c>
      <c r="I19" s="50" t="inlineStr">
        <is>
          <t>Uses ordinary GPIO rather than a timer channel because enable is not a waveform. LOW at startup keeps the brake motor driver disabled.</t>
        </is>
      </c>
      <c r="J19" s="50" t="inlineStr">
        <is>
          <t>https://www.st.com/resource/en/datasheet/stm32g474re.pdf</t>
        </is>
      </c>
      <c r="K19" s="50" t="n"/>
    </row>
    <row r="20">
      <c r="A20" s="50" t="inlineStr">
        <is>
          <t>PB13</t>
        </is>
      </c>
      <c r="B20" s="50" t="inlineStr">
        <is>
          <t>GPIO_Output</t>
        </is>
      </c>
      <c r="C20" s="50" t="inlineStr">
        <is>
          <t>Brake Motor EN2</t>
        </is>
      </c>
      <c r="D20" s="50" t="inlineStr">
        <is>
          <t>GPIO</t>
        </is>
      </c>
      <c r="E20" s="50" t="inlineStr">
        <is>
          <t>Output</t>
        </is>
      </c>
      <c r="F20" s="53" t="inlineStr">
        <is>
          <t>Confirmed</t>
        </is>
      </c>
      <c r="G20" s="50" t="inlineStr">
        <is>
          <t>Brake Motor1 header</t>
        </is>
      </c>
      <c r="H20" s="50" t="inlineStr">
        <is>
          <t>GPIO Output; Push-Pull; initial output LOW; No Pull; Low speed; add 10 kOhm external pull-down to GND on EN net</t>
        </is>
      </c>
      <c r="I20" s="50" t="inlineStr">
        <is>
          <t>Independent second enable preserves flexibility while normal firmware can treat the pair as one motor-enable state. External pull-down adds hardware-safe default.</t>
        </is>
      </c>
      <c r="J20" s="50" t="inlineStr">
        <is>
          <t>https://www.st.com/resource/en/datasheet/stm32g474re.pdf</t>
        </is>
      </c>
      <c r="K20" s="50" t="n"/>
    </row>
    <row r="21">
      <c r="A21" s="50" t="inlineStr">
        <is>
          <t>PB14</t>
        </is>
      </c>
      <c r="B21" s="50" t="inlineStr">
        <is>
          <t>GPIO_Output</t>
        </is>
      </c>
      <c r="C21" s="50" t="inlineStr">
        <is>
          <t>Steering Motor EN1</t>
        </is>
      </c>
      <c r="D21" s="50" t="inlineStr">
        <is>
          <t>GPIO</t>
        </is>
      </c>
      <c r="E21" s="50" t="inlineStr">
        <is>
          <t>Output</t>
        </is>
      </c>
      <c r="F21" s="50" t="inlineStr">
        <is>
          <t>Confirmed</t>
        </is>
      </c>
      <c r="G21" s="50" t="inlineStr">
        <is>
          <t>Steering Motor1 header</t>
        </is>
      </c>
      <c r="H21" s="50" t="inlineStr">
        <is>
          <t>GPIO Output; Push-Pull; initial output LOW; No Pull; Low speed; add 10 kOhm external pull-down to GND on EN net</t>
        </is>
      </c>
      <c r="I21" s="50" t="inlineStr">
        <is>
          <t>Steering enable does not require a timer. LOW startup prevents steering motion until firmware deliberately enables the driver.</t>
        </is>
      </c>
      <c r="J21" s="50" t="inlineStr">
        <is>
          <t>https://www.st.com/resource/en/datasheet/stm32g474re.pdf</t>
        </is>
      </c>
      <c r="K21" s="50" t="n"/>
    </row>
    <row r="22">
      <c r="A22" s="50" t="inlineStr">
        <is>
          <t>PB15</t>
        </is>
      </c>
      <c r="B22" s="50" t="inlineStr">
        <is>
          <t>GPIO_Output</t>
        </is>
      </c>
      <c r="C22" s="50" t="inlineStr">
        <is>
          <t>Steering Motor EN2</t>
        </is>
      </c>
      <c r="D22" s="50" t="inlineStr">
        <is>
          <t>GPIO</t>
        </is>
      </c>
      <c r="E22" s="50" t="inlineStr">
        <is>
          <t>Output</t>
        </is>
      </c>
      <c r="F22" s="50" t="inlineStr">
        <is>
          <t>Confirmed</t>
        </is>
      </c>
      <c r="G22" s="50" t="inlineStr">
        <is>
          <t>Steering Motor1 header</t>
        </is>
      </c>
      <c r="H22" s="50" t="inlineStr">
        <is>
          <t>GPIO Output; Push-Pull; initial output LOW; No Pull; Low speed; add 10 kOhm external pull-down to GND on EN net</t>
        </is>
      </c>
      <c r="I22" s="50" t="inlineStr">
        <is>
          <t>Completes the steering enable pair; external pull-down provides a deterministic disabled state before firmware configures the pin.</t>
        </is>
      </c>
      <c r="J22" s="50" t="inlineStr">
        <is>
          <t>https://www.st.com/resource/en/datasheet/stm32g474re.pdf</t>
        </is>
      </c>
      <c r="K22" s="50" t="n"/>
    </row>
    <row r="23">
      <c r="A23" s="50" t="n"/>
      <c r="B23" s="50" t="n"/>
      <c r="C23" s="50" t="n"/>
      <c r="D23" s="50" t="n"/>
      <c r="E23" s="50" t="n"/>
      <c r="F23" s="50" t="n"/>
      <c r="G23" s="50" t="n"/>
      <c r="H23" s="50" t="n"/>
      <c r="I23" s="50" t="n"/>
      <c r="J23" s="50" t="n"/>
      <c r="K23" s="50" t="n"/>
    </row>
    <row r="24">
      <c r="A24" s="50" t="inlineStr">
        <is>
          <t>PA6</t>
        </is>
      </c>
      <c r="B24" s="50" t="inlineStr">
        <is>
          <t>TIM3_CH1</t>
        </is>
      </c>
      <c r="C24" s="50" t="inlineStr">
        <is>
          <t>Servo 1 PWM</t>
        </is>
      </c>
      <c r="D24" s="50" t="inlineStr">
        <is>
          <t>TIM3</t>
        </is>
      </c>
      <c r="E24" s="50" t="inlineStr">
        <is>
          <t>Output</t>
        </is>
      </c>
      <c r="F24" s="50" t="inlineStr">
        <is>
          <t>Confirmed</t>
        </is>
      </c>
      <c r="G24" s="50" t="inlineStr">
        <is>
          <t>Servo header 1 (Servo 1 signal)</t>
        </is>
      </c>
      <c r="H24" s="50" t="inlineStr">
        <is>
          <t>TIM3_CH1; 50 Hz; PSC=99; ARR=19999; PWM Mode 1; initial CCR=0; active high; CKD No Division; no timer IRQ; add 10 kOhm external pull-down from PWM net to GND</t>
        </is>
      </c>
      <c r="I24" s="50" t="inlineStr">
        <is>
          <t>Each physical RC servo needs one command/PWM signal. The 10 kOhm external pull-down keeps the command line LOW while the STM32 pin is high-impedance during reset/programming, preventing a floating input from producing unintended servo pulses.</t>
        </is>
      </c>
      <c r="J24" s="50" t="inlineStr">
        <is>
          <t>https://www.st.com/resource/en/datasheet/stm32g474pb.pdf</t>
        </is>
      </c>
      <c r="K24" s="50" t="n"/>
    </row>
    <row r="25">
      <c r="A25" s="50" t="inlineStr">
        <is>
          <t>PA7</t>
        </is>
      </c>
      <c r="B25" s="50" t="inlineStr">
        <is>
          <t>TIM3_CH2</t>
        </is>
      </c>
      <c r="C25" s="50" t="inlineStr">
        <is>
          <t>Servo 2 PWM</t>
        </is>
      </c>
      <c r="D25" s="50" t="inlineStr">
        <is>
          <t>TIM3</t>
        </is>
      </c>
      <c r="E25" s="50" t="inlineStr">
        <is>
          <t>Output</t>
        </is>
      </c>
      <c r="F25" s="50" t="inlineStr">
        <is>
          <t>Confirmed</t>
        </is>
      </c>
      <c r="G25" s="50" t="inlineStr">
        <is>
          <t>Servo header 1 (Servo 2 signal)</t>
        </is>
      </c>
      <c r="H25" s="50" t="inlineStr">
        <is>
          <t>TIM3_CH2; 50 Hz; PSC=99; ARR=19999; PWM Mode 1; initial CCR=0; active high; CKD No Division; no timer IRQ; add 10 kOhm external pull-down from PWM net to GND</t>
        </is>
      </c>
      <c r="I25" s="50" t="inlineStr">
        <is>
          <t>Servo 2 has its own independent timer channel/CCR. The external pull-down guarantees a defined LOW/no-pulse state before CubeMX/HAL configures the alternate-function output.</t>
        </is>
      </c>
      <c r="J25" s="50" t="inlineStr">
        <is>
          <t>https://www.st.com/resource/en/datasheet/stm32g474pb.pdf</t>
        </is>
      </c>
      <c r="K25" s="50" t="n"/>
    </row>
    <row r="26">
      <c r="A26" s="50" t="inlineStr">
        <is>
          <t>PB0</t>
        </is>
      </c>
      <c r="B26" s="50" t="inlineStr">
        <is>
          <t>TIM3_CH3</t>
        </is>
      </c>
      <c r="C26" s="50" t="inlineStr">
        <is>
          <t>Servo 3 PWM</t>
        </is>
      </c>
      <c r="D26" s="50" t="inlineStr">
        <is>
          <t>TIM3</t>
        </is>
      </c>
      <c r="E26" s="50" t="inlineStr">
        <is>
          <t>Output</t>
        </is>
      </c>
      <c r="F26" s="50" t="inlineStr">
        <is>
          <t>Confirmed</t>
        </is>
      </c>
      <c r="G26" s="50" t="inlineStr">
        <is>
          <t>Servo header 2 (Servo 3 signal)</t>
        </is>
      </c>
      <c r="H26" s="50" t="inlineStr">
        <is>
          <t>TIM3_CH3; 50 Hz; PSC=99; ARR=19999; PWM Mode 1; initial CCR=0; active high; CKD No Division; no timer IRQ; add 10 kOhm external pull-down from PWM net to GND</t>
        </is>
      </c>
      <c r="I26" s="50" t="inlineStr">
        <is>
          <t>Servo 3 uses one PWM signal on TIM3_CH3. A 10 kOhm pull-down prevents the servo input from floating during MCU reset or programming.</t>
        </is>
      </c>
      <c r="J26" s="50" t="inlineStr">
        <is>
          <t>https://www.st.com/resource/en/datasheet/stm32g474pb.pdf</t>
        </is>
      </c>
      <c r="K26" s="50" t="n"/>
    </row>
    <row r="27">
      <c r="A27" s="50" t="inlineStr">
        <is>
          <t>PB1</t>
        </is>
      </c>
      <c r="B27" s="50" t="inlineStr">
        <is>
          <t>TIM3_CH4</t>
        </is>
      </c>
      <c r="C27" s="50" t="inlineStr">
        <is>
          <t>Servo 4 PWM</t>
        </is>
      </c>
      <c r="D27" s="50" t="inlineStr">
        <is>
          <t>TIM3</t>
        </is>
      </c>
      <c r="E27" s="50" t="inlineStr">
        <is>
          <t>Output</t>
        </is>
      </c>
      <c r="F27" s="50" t="inlineStr">
        <is>
          <t>Confirmed</t>
        </is>
      </c>
      <c r="G27" s="50" t="inlineStr">
        <is>
          <t>Servo header 2 (Servo 4 signal)</t>
        </is>
      </c>
      <c r="H27" s="50" t="inlineStr">
        <is>
          <t>TIM3_CH4; 50 Hz; PSC=99; ARR=19999; PWM Mode 1; initial CCR=0; active high; CKD No Division; no timer IRQ; add 10 kOhm external pull-down from PWM net to GND</t>
        </is>
      </c>
      <c r="I27" s="50" t="inlineStr">
        <is>
          <t>Servo 4 uses one PWM signal on TIM3_CH4 and is independently commanded by its own CCR value. The pull-down keeps the line inactive until firmware deliberately starts PWM.</t>
        </is>
      </c>
      <c r="J27" s="50" t="inlineStr">
        <is>
          <t>https://www.st.com/resource/en/datasheet/stm32g474pb.pdf</t>
        </is>
      </c>
      <c r="K27" s="50" t="n"/>
    </row>
    <row r="28">
      <c r="A28" s="50" t="inlineStr">
        <is>
          <t>PA2</t>
        </is>
      </c>
      <c r="B28" s="50" t="inlineStr">
        <is>
          <t>TIM5_CH3</t>
        </is>
      </c>
      <c r="C28" s="50" t="inlineStr">
        <is>
          <t>Servo 5 PWM</t>
        </is>
      </c>
      <c r="D28" s="50" t="inlineStr">
        <is>
          <t>TIM5</t>
        </is>
      </c>
      <c r="E28" s="50" t="inlineStr">
        <is>
          <t>Output</t>
        </is>
      </c>
      <c r="F28" s="50" t="inlineStr">
        <is>
          <t>Confirmed</t>
        </is>
      </c>
      <c r="G28" s="50" t="inlineStr">
        <is>
          <t>Servo header 3 (Servo 5 signal)</t>
        </is>
      </c>
      <c r="H28" s="50" t="inlineStr">
        <is>
          <t>TIM5_CH3; 50 Hz; PSC=99; ARR=19999; PWM Mode 1; initial CCR=0; active high; CKD No Division; dithering disabled; no timer IRQ; add 10 kOhm external pull-down from PWM net to GND</t>
        </is>
      </c>
      <c r="I28" s="50" t="inlineStr">
        <is>
          <t>Servo 5 uses one PWM signal on TIM5_CH3. The 10 kOhm pull-down defines the line LOW during reset/high-Z without materially loading the 3.3 V STM32 output.</t>
        </is>
      </c>
      <c r="J28" s="50" t="inlineStr">
        <is>
          <t>https://www.st.com/resource/en/datasheet/stm32g474pc.pdf</t>
        </is>
      </c>
      <c r="K28" s="50" t="n"/>
    </row>
    <row r="29">
      <c r="A29" s="50" t="inlineStr">
        <is>
          <t>PA3</t>
        </is>
      </c>
      <c r="B29" s="50" t="inlineStr">
        <is>
          <t>TIM5_CH4</t>
        </is>
      </c>
      <c r="C29" s="50" t="inlineStr">
        <is>
          <t>Servo 6 PWM</t>
        </is>
      </c>
      <c r="D29" s="50" t="inlineStr">
        <is>
          <t>TIM5</t>
        </is>
      </c>
      <c r="E29" s="50" t="inlineStr">
        <is>
          <t>Output</t>
        </is>
      </c>
      <c r="F29" s="50" t="inlineStr">
        <is>
          <t>Confirmed</t>
        </is>
      </c>
      <c r="G29" s="50" t="inlineStr">
        <is>
          <t>Servo header 3 (Servo 6 signal)</t>
        </is>
      </c>
      <c r="H29" s="50" t="inlineStr">
        <is>
          <t>TIM5_CH4; 50 Hz; PSC=99; ARR=19999; PWM Mode 1; initial CCR=0; active high; CKD No Division; dithering disabled; no timer IRQ; add 10 kOhm external pull-down from PWM net to GND</t>
        </is>
      </c>
      <c r="I29" s="50" t="inlineStr">
        <is>
          <t>Servo 6 uses one PWM signal on TIM5_CH4. The pull-down completes the same safe-default strategy on all six servo command nets.</t>
        </is>
      </c>
      <c r="J29" s="50" t="inlineStr">
        <is>
          <t>https://www.st.com/resource/en/datasheet/stm32g474pc.pdf</t>
        </is>
      </c>
      <c r="K29" s="50" t="n"/>
    </row>
    <row r="30">
      <c r="A30" s="50" t="n"/>
      <c r="B30" s="50" t="n"/>
      <c r="C30" s="50" t="n"/>
      <c r="D30" s="50" t="n"/>
      <c r="E30" s="50" t="n"/>
      <c r="F30" s="50" t="n"/>
      <c r="G30" s="50" t="n"/>
      <c r="H30" s="50" t="n"/>
      <c r="I30" s="50" t="n"/>
      <c r="J30" s="50" t="n"/>
      <c r="K30" s="50" t="n"/>
    </row>
    <row r="31">
      <c r="A31" s="50" t="inlineStr">
        <is>
          <t>PA12</t>
        </is>
      </c>
      <c r="B31" s="50" t="inlineStr">
        <is>
          <t>GPIO_Output</t>
        </is>
      </c>
      <c r="C31" s="50" t="inlineStr">
        <is>
          <t>Solenoid Valve Enable</t>
        </is>
      </c>
      <c r="D31" s="50" t="inlineStr">
        <is>
          <t>GPIO</t>
        </is>
      </c>
      <c r="E31" s="50" t="inlineStr">
        <is>
          <t>Output</t>
        </is>
      </c>
      <c r="F31" s="50" t="inlineStr">
        <is>
          <t>Confirmed</t>
        </is>
      </c>
      <c r="G31" s="50" t="inlineStr">
        <is>
          <t>Solenoid valve driver input</t>
        </is>
      </c>
      <c r="H31" s="50" t="inlineStr">
        <is>
          <t>GPIO Output; Push-Pull; initial LOW; No Pull; Low speed; recommend 10 kOhm external pull-down to GND. Drive an external MOSFET/driver/relay input, not the solenoid coil directly.</t>
        </is>
      </c>
      <c r="I31" s="50" t="inlineStr">
        <is>
          <t>The valve is an on/off load, so a normal GPIO is sufficient. LOW at boot prevents unintended actuation. A pull-down holds the control line inactive during reset/high-Z. The MCU pin must only command a suitable power driver; the inductive valve coil requires flyback suppression.</t>
        </is>
      </c>
      <c r="J31" s="50" t="inlineStr">
        <is>
          <t>https://www.st.com/resource/en/datasheet/stm32g474re.pdf</t>
        </is>
      </c>
      <c r="K31" s="50" t="n"/>
    </row>
    <row r="32">
      <c r="A32" s="50" t="inlineStr">
        <is>
          <t>PB3</t>
        </is>
      </c>
      <c r="B32" s="50" t="inlineStr">
        <is>
          <t>Reserved: USART2_TX</t>
        </is>
      </c>
      <c r="C32" s="50" t="inlineStr">
        <is>
          <t>Offboard STM TX (future)</t>
        </is>
      </c>
      <c r="D32" s="50" t="inlineStr">
        <is>
          <t>USART2</t>
        </is>
      </c>
      <c r="E32" s="50" t="inlineStr">
        <is>
          <t>Output</t>
        </is>
      </c>
      <c r="F32" s="50" t="inlineStr">
        <is>
          <t>Reserved</t>
        </is>
      </c>
      <c r="G32" s="50" t="inlineStr">
        <is>
          <t>Offboard STM header</t>
        </is>
      </c>
      <c r="H32" s="50" t="inlineStr">
        <is>
          <t>Do not assign yet</t>
        </is>
      </c>
      <c r="I32" s="50" t="inlineStr">
        <is>
          <t>Leaving a second hardware UART available is useful because the schematic includes an offboard STM interface</t>
        </is>
      </c>
      <c r="J32" s="50" t="inlineStr">
        <is>
          <t>https://www.st.com/resource/en/datasheet/stm32g474re.pdf</t>
        </is>
      </c>
      <c r="K32" s="50" t="n"/>
    </row>
    <row r="33">
      <c r="A33" s="50" t="inlineStr">
        <is>
          <t>PB4</t>
        </is>
      </c>
      <c r="B33" s="50" t="inlineStr">
        <is>
          <t>Reserved: USART2_RX</t>
        </is>
      </c>
      <c r="C33" s="50" t="inlineStr">
        <is>
          <t>Offboard STM RX (future)</t>
        </is>
      </c>
      <c r="D33" s="50" t="inlineStr">
        <is>
          <t>USART2</t>
        </is>
      </c>
      <c r="E33" s="50" t="inlineStr">
        <is>
          <t>Input</t>
        </is>
      </c>
      <c r="F33" s="50" t="inlineStr">
        <is>
          <t>Reserved</t>
        </is>
      </c>
      <c r="G33" s="50" t="inlineStr">
        <is>
          <t>Offboard STM header</t>
        </is>
      </c>
      <c r="H33" s="50" t="inlineStr">
        <is>
          <t>Do not assign yet</t>
        </is>
      </c>
      <c r="I33" s="50" t="inlineStr">
        <is>
          <t>Pairs with PB3 for a future MCU-to-MCU UART without disturbing the Pi UART or PWM plan</t>
        </is>
      </c>
      <c r="J33" s="50" t="inlineStr">
        <is>
          <t>https://www.st.com/resource/en/datasheet/stm32g474re.pdf</t>
        </is>
      </c>
      <c r="K33" s="50" t="n"/>
    </row>
    <row r="34">
      <c r="A34" s="50" t="n"/>
      <c r="B34" s="50" t="n"/>
      <c r="C34" s="50" t="n"/>
      <c r="D34" s="50" t="n"/>
      <c r="E34" s="50" t="n"/>
      <c r="F34" s="50" t="n"/>
      <c r="G34" s="50" t="n"/>
      <c r="H34" s="50" t="n"/>
      <c r="I34" s="50" t="n"/>
      <c r="J34" s="50" t="n"/>
      <c r="K34" s="50" t="n"/>
    </row>
    <row r="35">
      <c r="A35" s="50" t="n"/>
      <c r="B35" s="50" t="n"/>
      <c r="C35" s="50" t="n"/>
      <c r="D35" s="50" t="n"/>
      <c r="E35" s="50" t="n"/>
      <c r="F35" s="50" t="n"/>
      <c r="G35" s="50" t="n"/>
      <c r="H35" s="50" t="n"/>
      <c r="I35" s="50" t="n"/>
      <c r="J35" s="50" t="n"/>
      <c r="K35" s="50" t="n"/>
    </row>
    <row r="36">
      <c r="A36" s="50" t="n"/>
      <c r="B36" s="50" t="n"/>
      <c r="C36" s="50" t="n"/>
      <c r="D36" s="50" t="n"/>
      <c r="E36" s="50" t="n"/>
      <c r="F36" s="50" t="n"/>
      <c r="G36" s="50" t="n"/>
      <c r="H36" s="50" t="n"/>
      <c r="I36" s="50" t="n"/>
      <c r="J36" s="50" t="n"/>
      <c r="K36" s="50" t="n"/>
    </row>
    <row r="37">
      <c r="A37" s="50" t="n"/>
      <c r="B37" s="50" t="n"/>
      <c r="C37" s="50" t="n"/>
      <c r="D37" s="50" t="n"/>
      <c r="E37" s="50" t="n"/>
      <c r="F37" s="50" t="n"/>
      <c r="G37" s="50" t="n"/>
      <c r="H37" s="50" t="n"/>
      <c r="I37" s="50" t="n"/>
      <c r="J37" s="50" t="n"/>
      <c r="K37" s="50" t="n"/>
    </row>
    <row r="38">
      <c r="A38" s="50" t="n"/>
      <c r="B38" s="50" t="n"/>
      <c r="C38" s="50" t="n"/>
      <c r="D38" s="50" t="n"/>
      <c r="E38" s="50" t="n"/>
      <c r="F38" s="50" t="n"/>
      <c r="G38" s="50" t="n"/>
      <c r="H38" s="50" t="n"/>
      <c r="I38" s="50" t="n"/>
      <c r="J38" s="50" t="n"/>
      <c r="K38" s="50" t="n"/>
    </row>
    <row r="39">
      <c r="A39" s="50" t="n"/>
      <c r="B39" s="50" t="n"/>
      <c r="C39" s="50" t="n"/>
      <c r="D39" s="50" t="n"/>
      <c r="E39" s="50" t="n"/>
      <c r="F39" s="50" t="n"/>
      <c r="G39" s="50" t="n"/>
      <c r="H39" s="50" t="n"/>
      <c r="I39" s="50" t="n"/>
      <c r="J39" s="50" t="n"/>
      <c r="K39" s="50" t="n"/>
    </row>
    <row r="40">
      <c r="A40" s="50" t="n"/>
      <c r="B40" s="50" t="n"/>
      <c r="C40" s="50" t="n"/>
      <c r="D40" s="50" t="n"/>
      <c r="E40" s="50" t="n"/>
      <c r="F40" s="50" t="n"/>
      <c r="G40" s="50" t="n"/>
      <c r="H40" s="50" t="n"/>
      <c r="I40" s="50" t="n"/>
      <c r="J40" s="50" t="n"/>
      <c r="K40" s="50" t="n"/>
    </row>
    <row r="41">
      <c r="A41" s="50" t="n"/>
      <c r="B41" s="50" t="n"/>
      <c r="C41" s="50" t="n"/>
      <c r="D41" s="50" t="n"/>
      <c r="E41" s="50" t="n"/>
      <c r="F41" s="50" t="n"/>
      <c r="G41" s="50" t="n"/>
      <c r="H41" s="50" t="n"/>
      <c r="I41" s="50" t="n"/>
      <c r="J41" s="50" t="n"/>
      <c r="K41" s="50" t="n"/>
    </row>
    <row r="42">
      <c r="A42" s="50" t="n"/>
      <c r="B42" s="50" t="n"/>
      <c r="C42" s="50" t="n"/>
      <c r="D42" s="50" t="n"/>
      <c r="E42" s="50" t="n"/>
      <c r="F42" s="50" t="n"/>
      <c r="G42" s="50" t="n"/>
      <c r="H42" s="50" t="n"/>
      <c r="I42" s="50" t="n"/>
      <c r="J42" s="50" t="n"/>
      <c r="K42" s="50" t="n"/>
    </row>
    <row r="43">
      <c r="A43" s="50" t="n"/>
      <c r="B43" s="50" t="n"/>
      <c r="C43" s="50" t="n"/>
      <c r="D43" s="50" t="n"/>
      <c r="E43" s="50" t="n"/>
      <c r="F43" s="50" t="n"/>
      <c r="G43" s="50" t="n"/>
      <c r="H43" s="50" t="n"/>
      <c r="I43" s="50" t="n"/>
      <c r="J43" s="50" t="n"/>
      <c r="K43" s="50" t="n"/>
    </row>
    <row r="44">
      <c r="A44" s="50" t="n"/>
      <c r="B44" s="50" t="n"/>
      <c r="C44" s="50" t="n"/>
      <c r="D44" s="50" t="n"/>
      <c r="E44" s="50" t="n"/>
      <c r="F44" s="50" t="n"/>
      <c r="G44" s="50" t="n"/>
      <c r="H44" s="50" t="n"/>
      <c r="I44" s="50" t="n"/>
      <c r="J44" s="50" t="n"/>
      <c r="K44" s="50" t="n"/>
    </row>
    <row r="45">
      <c r="A45" s="50" t="n"/>
      <c r="B45" s="50" t="n"/>
      <c r="C45" s="50" t="n"/>
      <c r="D45" s="50" t="n"/>
      <c r="E45" s="50" t="n"/>
      <c r="F45" s="50" t="n"/>
      <c r="G45" s="50" t="n"/>
      <c r="H45" s="50" t="n"/>
      <c r="I45" s="50" t="n"/>
      <c r="J45" s="50" t="n"/>
      <c r="K45" s="50" t="n"/>
    </row>
    <row r="46">
      <c r="A46" s="50" t="n"/>
      <c r="B46" s="50" t="n"/>
      <c r="C46" s="50" t="n"/>
      <c r="D46" s="50" t="n"/>
      <c r="E46" s="50" t="n"/>
      <c r="F46" s="50" t="n"/>
      <c r="G46" s="50" t="n"/>
      <c r="H46" s="50" t="n"/>
      <c r="I46" s="50" t="n"/>
      <c r="J46" s="50" t="n"/>
      <c r="K46" s="50" t="n"/>
    </row>
    <row r="47">
      <c r="A47" s="50" t="n"/>
      <c r="B47" s="50" t="n"/>
      <c r="C47" s="50" t="n"/>
      <c r="D47" s="50" t="n"/>
      <c r="E47" s="50" t="n"/>
      <c r="F47" s="50" t="n"/>
      <c r="G47" s="50" t="n"/>
      <c r="H47" s="50" t="n"/>
      <c r="I47" s="50" t="n"/>
      <c r="J47" s="50" t="n"/>
      <c r="K47" s="50" t="n"/>
    </row>
    <row r="48">
      <c r="A48" s="50" t="n"/>
      <c r="B48" s="50" t="n"/>
      <c r="C48" s="50" t="n"/>
      <c r="D48" s="50" t="n"/>
      <c r="E48" s="50" t="n"/>
      <c r="F48" s="50" t="n"/>
      <c r="G48" s="50" t="n"/>
      <c r="H48" s="50" t="n"/>
      <c r="I48" s="50" t="n"/>
      <c r="J48" s="50" t="n"/>
      <c r="K48" s="50" t="n"/>
    </row>
    <row r="49">
      <c r="A49" s="50" t="n"/>
      <c r="B49" s="50" t="n"/>
      <c r="C49" s="50" t="n"/>
      <c r="D49" s="50" t="n"/>
      <c r="E49" s="50" t="n"/>
      <c r="F49" s="50" t="n"/>
      <c r="G49" s="50" t="n"/>
      <c r="H49" s="50" t="n"/>
      <c r="I49" s="50" t="n"/>
      <c r="J49" s="50" t="n"/>
      <c r="K49" s="50" t="n"/>
    </row>
    <row r="50">
      <c r="A50" s="50" t="n"/>
      <c r="B50" s="50" t="n"/>
      <c r="C50" s="50" t="n"/>
      <c r="D50" s="50" t="n"/>
      <c r="E50" s="50" t="n"/>
      <c r="F50" s="50" t="n"/>
      <c r="G50" s="50" t="n"/>
      <c r="H50" s="50" t="n"/>
      <c r="I50" s="50" t="n"/>
      <c r="J50" s="50" t="n"/>
      <c r="K50" s="50" t="n"/>
    </row>
    <row r="51">
      <c r="A51" s="50" t="n"/>
      <c r="B51" s="50" t="n"/>
      <c r="C51" s="50" t="n"/>
      <c r="D51" s="50" t="n"/>
      <c r="E51" s="50" t="n"/>
      <c r="F51" s="50" t="n"/>
      <c r="G51" s="50" t="n"/>
      <c r="H51" s="50" t="n"/>
      <c r="I51" s="50" t="n"/>
      <c r="J51" s="50" t="n"/>
      <c r="K51" s="50" t="n"/>
    </row>
    <row r="52">
      <c r="A52" s="50" t="n"/>
      <c r="B52" s="50" t="n"/>
      <c r="C52" s="50" t="n"/>
      <c r="D52" s="50" t="n"/>
      <c r="E52" s="50" t="n"/>
      <c r="F52" s="50" t="n"/>
      <c r="G52" s="50" t="n"/>
      <c r="H52" s="50" t="n"/>
      <c r="I52" s="50" t="n"/>
      <c r="J52" s="50" t="n"/>
      <c r="K52" s="50" t="n"/>
    </row>
    <row r="53">
      <c r="A53" s="50" t="n"/>
      <c r="B53" s="50" t="n"/>
      <c r="C53" s="50" t="n"/>
      <c r="D53" s="50" t="n"/>
      <c r="E53" s="50" t="n"/>
      <c r="F53" s="50" t="n"/>
      <c r="G53" s="50" t="n"/>
      <c r="H53" s="50" t="n"/>
      <c r="I53" s="50" t="n"/>
      <c r="J53" s="50" t="n"/>
      <c r="K53" s="50" t="n"/>
    </row>
    <row r="54">
      <c r="A54" s="50" t="n"/>
      <c r="B54" s="50" t="n"/>
      <c r="C54" s="50" t="n"/>
      <c r="D54" s="50" t="n"/>
      <c r="E54" s="50" t="n"/>
      <c r="F54" s="50" t="n"/>
      <c r="G54" s="50" t="n"/>
      <c r="H54" s="50" t="n"/>
      <c r="I54" s="50" t="n"/>
      <c r="J54" s="50" t="n"/>
      <c r="K54" s="50" t="n"/>
    </row>
    <row r="55">
      <c r="A55" s="50" t="n"/>
      <c r="B55" s="50" t="n"/>
      <c r="C55" s="50" t="n"/>
      <c r="D55" s="50" t="n"/>
      <c r="E55" s="50" t="n"/>
      <c r="F55" s="50" t="n"/>
      <c r="G55" s="50" t="n"/>
      <c r="H55" s="50" t="n"/>
      <c r="I55" s="50" t="n"/>
      <c r="J55" s="50" t="n"/>
      <c r="K55" s="50" t="n"/>
    </row>
    <row r="56">
      <c r="A56" s="50" t="n"/>
      <c r="B56" s="50" t="n"/>
      <c r="C56" s="50" t="n"/>
      <c r="D56" s="50" t="n"/>
      <c r="E56" s="50" t="n"/>
      <c r="F56" s="50" t="n"/>
      <c r="G56" s="50" t="n"/>
      <c r="H56" s="50" t="n"/>
      <c r="I56" s="50" t="n"/>
      <c r="J56" s="50" t="n"/>
      <c r="K56" s="50" t="n"/>
    </row>
    <row r="57">
      <c r="A57" s="50" t="n"/>
      <c r="B57" s="50" t="n"/>
      <c r="C57" s="50" t="n"/>
      <c r="D57" s="50" t="n"/>
      <c r="E57" s="50" t="n"/>
      <c r="F57" s="50" t="n"/>
      <c r="G57" s="50" t="n"/>
      <c r="H57" s="50" t="n"/>
      <c r="I57" s="50" t="n"/>
      <c r="J57" s="50" t="n"/>
      <c r="K57" s="50" t="n"/>
    </row>
    <row r="58">
      <c r="A58" s="50" t="n"/>
      <c r="B58" s="50" t="n"/>
      <c r="C58" s="50" t="n"/>
      <c r="D58" s="50" t="n"/>
      <c r="E58" s="50" t="n"/>
      <c r="F58" s="50" t="n"/>
      <c r="G58" s="50" t="n"/>
      <c r="H58" s="50" t="n"/>
      <c r="I58" s="50" t="n"/>
      <c r="J58" s="50" t="n"/>
      <c r="K58" s="50" t="n"/>
    </row>
    <row r="59">
      <c r="A59" s="50" t="n"/>
      <c r="B59" s="50" t="n"/>
      <c r="C59" s="50" t="n"/>
      <c r="D59" s="50" t="n"/>
      <c r="E59" s="50" t="n"/>
      <c r="F59" s="50" t="n"/>
      <c r="G59" s="50" t="n"/>
      <c r="H59" s="50" t="n"/>
      <c r="I59" s="50" t="n"/>
      <c r="J59" s="50" t="n"/>
      <c r="K59" s="50" t="n"/>
    </row>
    <row r="60">
      <c r="A60" s="50" t="n"/>
      <c r="B60" s="50" t="n"/>
      <c r="C60" s="50" t="n"/>
      <c r="D60" s="50" t="n"/>
      <c r="E60" s="50" t="n"/>
      <c r="F60" s="50" t="n"/>
      <c r="G60" s="50" t="n"/>
      <c r="H60" s="50" t="n"/>
      <c r="I60" s="50" t="n"/>
      <c r="J60" s="50" t="n"/>
      <c r="K60" s="50" t="n"/>
    </row>
  </sheetData>
  <mergeCells count="1">
    <mergeCell ref="A1:H1"/>
  </mergeCells>
  <dataValidations count="1">
    <dataValidation sqref="F4:F60" showDropDown="0" showInputMessage="0" showErrorMessage="0" allowBlank="0" type="list">
      <formula1>"Confirmed,Configured,Needs verification,Hardware planned,Not configured,Changed"</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cols>
    <col width="24" customWidth="1" style="58" min="1" max="1"/>
    <col width="10" customWidth="1" style="58" min="2" max="2"/>
    <col width="22" customWidth="1" style="58" min="3" max="3"/>
    <col width="22" customWidth="1" style="58" min="4" max="4"/>
    <col width="14" customWidth="1" style="58" min="5" max="5"/>
    <col width="46" customWidth="1" style="58" min="6" max="6"/>
    <col width="24" customWidth="1" style="58" min="7" max="7"/>
    <col width="48" customWidth="1" style="58" min="8" max="8"/>
  </cols>
  <sheetData>
    <row r="1">
      <c r="A1" s="226" t="inlineStr">
        <is>
          <t>Peripheral / Function Plan</t>
        </is>
      </c>
      <c r="B1" s="227" t="n"/>
      <c r="C1" s="227" t="n"/>
      <c r="D1" s="227" t="n"/>
      <c r="E1" s="227" t="n"/>
      <c r="F1" s="227" t="n"/>
      <c r="G1" s="227" t="n"/>
      <c r="H1" s="50" t="n"/>
      <c r="I1" s="50" t="n"/>
      <c r="J1" s="50" t="n"/>
      <c r="K1" s="50" t="n"/>
    </row>
    <row r="2">
      <c r="A2" s="50" t="n"/>
      <c r="B2" s="50" t="n"/>
      <c r="C2" s="50" t="n"/>
      <c r="D2" s="50" t="n"/>
      <c r="E2" s="50" t="n"/>
      <c r="F2" s="50" t="n"/>
      <c r="G2" s="50" t="n"/>
      <c r="H2" s="50" t="n"/>
      <c r="I2" s="50" t="n"/>
      <c r="J2" s="50" t="n"/>
      <c r="K2" s="50" t="n"/>
    </row>
    <row r="3">
      <c r="A3" s="83" t="inlineStr">
        <is>
          <t>Function Group</t>
        </is>
      </c>
      <c r="B3" s="83" t="inlineStr">
        <is>
          <t>Quantity</t>
        </is>
      </c>
      <c r="C3" s="83" t="inlineStr">
        <is>
          <t>Required Peripheral</t>
        </is>
      </c>
      <c r="D3" s="83" t="inlineStr">
        <is>
          <t>Frequency / Baud</t>
        </is>
      </c>
      <c r="E3" s="83" t="inlineStr">
        <is>
          <t>Status</t>
        </is>
      </c>
      <c r="F3" s="83" t="inlineStr">
        <is>
          <t>Implementation Notes</t>
        </is>
      </c>
      <c r="G3" s="83" t="inlineStr">
        <is>
          <t>CubeMX Section</t>
        </is>
      </c>
      <c r="H3" s="83" t="inlineStr">
        <is>
          <t>Design Rationale</t>
        </is>
      </c>
      <c r="I3" s="50" t="n"/>
      <c r="J3" s="50" t="n"/>
      <c r="K3" s="50" t="n"/>
    </row>
    <row r="4">
      <c r="A4" s="50" t="inlineStr">
        <is>
          <t>Pi UART</t>
        </is>
      </c>
      <c r="B4" s="50" t="n">
        <v>1</v>
      </c>
      <c r="C4" s="50" t="inlineStr">
        <is>
          <t>USART3</t>
        </is>
      </c>
      <c r="D4" s="50" t="inlineStr">
        <is>
          <t>115200 baud, 8-N-1</t>
        </is>
      </c>
      <c r="E4" s="53" t="inlineStr">
        <is>
          <t>Confirmed</t>
        </is>
      </c>
      <c r="F4" s="50" t="inlineStr">
        <is>
          <t>PB10=TX, PB11=RX; asynchronous; 115200, 8-N-1; no HW flow control; USART3 IRQ enabled; DMA not needed initially</t>
        </is>
      </c>
      <c r="G4" s="50" t="inlineStr">
        <is>
          <t>Connectivity &gt; USART3</t>
        </is>
      </c>
      <c r="H4" s="50" t="inlineStr">
        <is>
          <t>Asynchronous mode is correct because Raspberry Pi UART uses TX/RX without a shared clock. It uses start/stop framing plus the agreed baud rate, needs fewer pins than synchronous USART, and is appropriate for command/status traffic.</t>
        </is>
      </c>
      <c r="I4" s="50" t="n"/>
      <c r="J4" s="50" t="n"/>
      <c r="K4" s="50" t="n"/>
    </row>
    <row r="5">
      <c r="A5" s="50" t="inlineStr">
        <is>
          <t>Motor PWM</t>
        </is>
      </c>
      <c r="B5" s="50" t="n">
        <v>6</v>
      </c>
      <c r="C5" s="50" t="inlineStr">
        <is>
          <t>TIM1 + TIM2</t>
        </is>
      </c>
      <c r="D5" s="50" t="inlineStr">
        <is>
          <t>20 kHz recommended</t>
        </is>
      </c>
      <c r="E5" s="53" t="inlineStr">
        <is>
          <t>Confirmed</t>
        </is>
      </c>
      <c r="F5" s="50" t="inlineStr">
        <is>
          <t>TIM1 CH1-4 and TIM2 CH1-2 completed at 20 kHz. All six motor PWM outputs share the same carrier frequency while retaining independent duty-cycle control.</t>
        </is>
      </c>
      <c r="G5" s="50" t="inlineStr">
        <is>
          <t>Timers &gt; TIM1 / TIM2</t>
        </is>
      </c>
      <c r="H5" s="50" t="inlineStr">
        <is>
          <t>TIM1 gives four hardware PWM channels from one counter. All four share 20 kHz but each CCR is independent, so accelerator and brake signals can run simultaneously at different duty cycles. 20 kHz is below the BTS7960 25 kHz PWM capability, provides margin, and is near/above the upper audible range.</t>
        </is>
      </c>
      <c r="I5" s="50" t="n"/>
      <c r="J5" s="50" t="n"/>
      <c r="K5" s="50" t="n"/>
    </row>
    <row r="6">
      <c r="A6" s="50" t="inlineStr">
        <is>
          <t>Motor Enables</t>
        </is>
      </c>
      <c r="B6" s="50" t="n">
        <v>6</v>
      </c>
      <c r="C6" s="50" t="inlineStr">
        <is>
          <t>GPIO outputs</t>
        </is>
      </c>
      <c r="D6" s="50" t="inlineStr">
        <is>
          <t>N/A</t>
        </is>
      </c>
      <c r="E6" s="53" t="inlineStr">
        <is>
          <t>Confirmed</t>
        </is>
      </c>
      <c r="F6" s="50" t="inlineStr">
        <is>
          <t>PA4, PA5, PB12-PB15 configured as push-pull GPIO outputs, initial LOW, No Pull, Low speed. External 10 kOhm pull-downs to GND remain a PCB hardware requirement.</t>
        </is>
      </c>
      <c r="G6" s="50" t="inlineStr">
        <is>
          <t>System Core &gt; GPIO</t>
        </is>
      </c>
      <c r="H6" s="50" t="inlineStr">
        <is>
          <t>Motor enable inputs are static/slow logic controls, so normal GPIO is sufficient. Using timer-capable pins for EN would waste timer channels that are more valuable for PWM generation.</t>
        </is>
      </c>
      <c r="I6" s="50" t="n"/>
      <c r="J6" s="50" t="n"/>
      <c r="K6" s="50" t="n"/>
    </row>
    <row r="7">
      <c r="A7" s="50" t="inlineStr">
        <is>
          <t>Servo PWM</t>
        </is>
      </c>
      <c r="B7" s="50" t="n">
        <v>6</v>
      </c>
      <c r="C7" s="50" t="inlineStr">
        <is>
          <t>TIM3 + TIM5</t>
        </is>
      </c>
      <c r="D7" s="50" t="inlineStr">
        <is>
          <t>50 Hz selected (servo supports 50-330 Hz)</t>
        </is>
      </c>
      <c r="E7" s="53" t="inlineStr">
        <is>
          <t>Confirmed</t>
        </is>
      </c>
      <c r="F7" s="50" t="inlineStr">
        <is>
          <t>TIM3 supplies Servos 1-4; TIM5 CH3/CH4 on PA2/PA3 supplies Servos 5-6. All six servo PWM outputs are configured for 50 Hz, 1 us resolution, PWM Mode 1, initial CCR=0.</t>
        </is>
      </c>
      <c r="G7" s="50" t="inlineStr">
        <is>
          <t>Timers &gt; TIM3 / TIM5</t>
        </is>
      </c>
      <c r="H7" s="50" t="inlineStr">
        <is>
          <t>One PWM signal per servo. Channels on each timer share the 50 Hz frame but have independent CCR pulse widths, so all six servos can be commanded independently and simultaneously.</t>
        </is>
      </c>
      <c r="I7" s="50" t="n"/>
      <c r="J7" s="50" t="n"/>
      <c r="K7" s="50" t="n"/>
    </row>
    <row r="8">
      <c r="A8" s="50" t="inlineStr">
        <is>
          <t>SWD Programming</t>
        </is>
      </c>
      <c r="B8" s="50" t="n">
        <v>1</v>
      </c>
      <c r="C8" s="50" t="inlineStr">
        <is>
          <t>SYS Serial Wire</t>
        </is>
      </c>
      <c r="D8" s="50" t="inlineStr">
        <is>
          <t>N/A</t>
        </is>
      </c>
      <c r="E8" s="52" t="inlineStr">
        <is>
          <t>Confirmed</t>
        </is>
      </c>
      <c r="F8" s="50" t="inlineStr">
        <is>
          <t>PA13 SWDIO + PA14 SWCLK + PG10 NRST</t>
        </is>
      </c>
      <c r="G8" s="50" t="inlineStr">
        <is>
          <t>System Core &gt; SYS</t>
        </is>
      </c>
      <c r="H8" s="50" t="inlineStr">
        <is>
          <t>Keeps normal debug/programming access throughout development</t>
        </is>
      </c>
      <c r="I8" s="50" t="n"/>
      <c r="J8" s="50" t="n"/>
      <c r="K8" s="50" t="n"/>
    </row>
    <row r="9">
      <c r="A9" s="50" t="inlineStr">
        <is>
          <t>Offboard STM UART</t>
        </is>
      </c>
      <c r="B9" s="50" t="n">
        <v>1</v>
      </c>
      <c r="C9" s="50" t="inlineStr">
        <is>
          <t>USART2</t>
        </is>
      </c>
      <c r="D9" s="50" t="inlineStr">
        <is>
          <t>TBD</t>
        </is>
      </c>
      <c r="E9" s="50" t="inlineStr">
        <is>
          <t>Reserved</t>
        </is>
      </c>
      <c r="F9" s="50" t="inlineStr">
        <is>
          <t>PB3 TX + PB4 RX reserved, not configured</t>
        </is>
      </c>
      <c r="G9" s="50" t="inlineStr">
        <is>
          <t>Connectivity &gt; USART2</t>
        </is>
      </c>
      <c r="H9" s="50" t="inlineStr">
        <is>
          <t>A second UART can be added later without remapping the Pi UART or any PWM signals</t>
        </is>
      </c>
      <c r="I9" s="50" t="n"/>
      <c r="J9" s="50" t="n"/>
      <c r="K9" s="50" t="n"/>
    </row>
    <row r="10">
      <c r="A10" s="50" t="inlineStr">
        <is>
          <t>Spare / Expansion</t>
        </is>
      </c>
      <c r="B10" s="50" t="inlineStr">
        <is>
          <t>Multiple</t>
        </is>
      </c>
      <c r="C10" s="50" t="inlineStr">
        <is>
          <t>GPIO / ADC / I2C / other</t>
        </is>
      </c>
      <c r="D10" s="50" t="inlineStr">
        <is>
          <t>TBD</t>
        </is>
      </c>
      <c r="E10" s="50" t="inlineStr">
        <is>
          <t>Available</t>
        </is>
      </c>
      <c r="F10" s="50" t="inlineStr">
        <is>
          <t>PB2, PB5-PB9, PA15, PC13-PC15, PF0-PF1 remain mostly free</t>
        </is>
      </c>
      <c r="G10" s="50" t="inlineStr">
        <is>
          <t>As needed</t>
        </is>
      </c>
      <c r="H10" s="50" t="inlineStr">
        <is>
          <t>Preserves flexibility for sensors, diagnostics, interrupts, or future interfaces</t>
        </is>
      </c>
      <c r="I10" s="50" t="n"/>
      <c r="J10" s="50" t="n"/>
      <c r="K10" s="50" t="n"/>
    </row>
    <row r="11">
      <c r="A11" s="50" t="inlineStr">
        <is>
          <t>Solenoid Valve Control</t>
        </is>
      </c>
      <c r="B11" s="50" t="n">
        <v>1</v>
      </c>
      <c r="C11" s="50" t="inlineStr">
        <is>
          <t>GPIO output</t>
        </is>
      </c>
      <c r="D11" s="50" t="inlineStr">
        <is>
          <t>On/off</t>
        </is>
      </c>
      <c r="E11" s="50" t="inlineStr">
        <is>
          <t>Confirmed</t>
        </is>
      </c>
      <c r="F11" s="50" t="inlineStr">
        <is>
          <t>PA12 = GPIO_Output; push-pull; initial LOW; No Pull; Low speed. Use external power driver for valve coil and add flyback suppression; 10 kOhm control pull-down recommended.</t>
        </is>
      </c>
      <c r="G11" s="50" t="inlineStr">
        <is>
          <t>System Core &gt; GPIO</t>
        </is>
      </c>
      <c r="H11" s="50" t="inlineStr">
        <is>
          <t>A solenoid command is static on/off control, so no timer is needed. Default LOW prevents unintended actuation during startup; the external driver handles coil current and inductive transients.</t>
        </is>
      </c>
      <c r="I11" s="50" t="n"/>
      <c r="J11" s="50" t="n"/>
      <c r="K11" s="50" t="n"/>
    </row>
    <row r="12">
      <c r="A12" s="50" t="inlineStr">
        <is>
          <t>Reference</t>
        </is>
      </c>
      <c r="B12" s="50" t="inlineStr">
        <is>
          <t>URL</t>
        </is>
      </c>
      <c r="C12" s="50" t="n"/>
      <c r="D12" s="50" t="n"/>
      <c r="E12" s="50" t="n"/>
      <c r="F12" s="50" t="n"/>
      <c r="G12" s="50" t="n"/>
      <c r="H12" s="50" t="n"/>
      <c r="I12" s="50" t="n"/>
      <c r="J12" s="50" t="n"/>
      <c r="K12" s="50" t="n"/>
    </row>
    <row r="13">
      <c r="A13" s="50" t="inlineStr">
        <is>
          <t>STM32G474 datasheet</t>
        </is>
      </c>
      <c r="B13" s="50" t="inlineStr">
        <is>
          <t>https://www.st.com/resource/en/datasheet/stm32g474re.pdf</t>
        </is>
      </c>
      <c r="C13" s="50" t="n"/>
      <c r="D13" s="50" t="n"/>
      <c r="E13" s="50" t="n"/>
      <c r="F13" s="50" t="n"/>
      <c r="G13" s="50" t="n"/>
      <c r="H13" s="50" t="n"/>
      <c r="I13" s="50" t="n"/>
      <c r="J13" s="50" t="n"/>
      <c r="K13" s="50" t="n"/>
    </row>
    <row r="14">
      <c r="A14" s="50" t="inlineStr">
        <is>
          <t>BTS7960 datasheet</t>
        </is>
      </c>
      <c r="B14" s="50" t="inlineStr">
        <is>
          <t>https://www.infineon.com/assets/row/public/documents/10/57/infineon-bts7960-ds-en.pdf</t>
        </is>
      </c>
      <c r="C14" s="50" t="n"/>
      <c r="D14" s="50" t="n"/>
      <c r="E14" s="50" t="n"/>
      <c r="F14" s="50" t="n"/>
      <c r="G14" s="50" t="n"/>
      <c r="H14" s="50" t="n"/>
      <c r="I14" s="50" t="n"/>
      <c r="J14" s="50" t="n"/>
      <c r="K14" s="50" t="n"/>
    </row>
    <row r="15">
      <c r="A15" s="50" t="n"/>
      <c r="B15" s="50" t="n"/>
      <c r="C15" s="50" t="n"/>
      <c r="D15" s="50" t="n"/>
      <c r="E15" s="50" t="n"/>
      <c r="F15" s="50" t="n"/>
      <c r="G15" s="50" t="n"/>
      <c r="H15" s="50" t="n"/>
      <c r="I15" s="50" t="n"/>
      <c r="J15" s="50" t="n"/>
      <c r="K15" s="50" t="n"/>
    </row>
    <row r="16">
      <c r="A16" s="64" t="inlineStr">
        <is>
          <t>USART3 CubeMX Detail</t>
        </is>
      </c>
      <c r="B16" s="64" t="inlineStr">
        <is>
          <t>Setting</t>
        </is>
      </c>
      <c r="C16" s="64" t="inlineStr">
        <is>
          <t>Status</t>
        </is>
      </c>
      <c r="D16" s="64" t="inlineStr">
        <is>
          <t>Rationale</t>
        </is>
      </c>
      <c r="E16" s="50" t="n"/>
      <c r="F16" s="50" t="n"/>
      <c r="G16" s="50" t="n"/>
      <c r="H16" s="50" t="n"/>
      <c r="I16" s="50" t="n"/>
      <c r="J16" s="50" t="n"/>
      <c r="K16" s="50" t="n"/>
    </row>
    <row r="17">
      <c r="A17" s="50" t="inlineStr">
        <is>
          <t>Mode</t>
        </is>
      </c>
      <c r="B17" s="50" t="inlineStr">
        <is>
          <t>Asynchronous</t>
        </is>
      </c>
      <c r="C17" s="50" t="inlineStr">
        <is>
          <t>Confirmed</t>
        </is>
      </c>
      <c r="D17" s="50" t="inlineStr">
        <is>
          <t>Standard full-duplex UART between STM32 and Raspberry Pi</t>
        </is>
      </c>
      <c r="E17" s="50" t="n"/>
      <c r="F17" s="50" t="n"/>
      <c r="G17" s="50" t="n"/>
      <c r="H17" s="50" t="n"/>
      <c r="I17" s="50" t="n"/>
      <c r="J17" s="50" t="n"/>
      <c r="K17" s="50" t="n"/>
    </row>
    <row r="18">
      <c r="A18" s="50" t="inlineStr">
        <is>
          <t>Baud rate</t>
        </is>
      </c>
      <c r="B18" s="50" t="inlineStr">
        <is>
          <t>115200 bit/s</t>
        </is>
      </c>
      <c r="C18" s="50" t="inlineStr">
        <is>
          <t>Confirmed</t>
        </is>
      </c>
      <c r="D18" s="50" t="inlineStr">
        <is>
          <t>More than adequate for commands/telemetry during bring-up and very robust/easy to debug</t>
        </is>
      </c>
      <c r="E18" s="50" t="n"/>
      <c r="F18" s="50" t="n"/>
      <c r="G18" s="50" t="n"/>
      <c r="H18" s="50" t="n"/>
      <c r="I18" s="50" t="n"/>
      <c r="J18" s="50" t="n"/>
      <c r="K18" s="50" t="n"/>
    </row>
    <row r="19">
      <c r="A19" s="50" t="inlineStr">
        <is>
          <t>Word length</t>
        </is>
      </c>
      <c r="B19" s="50" t="inlineStr">
        <is>
          <t>8 Bits</t>
        </is>
      </c>
      <c r="C19" s="50" t="inlineStr">
        <is>
          <t>Confirmed</t>
        </is>
      </c>
      <c r="D19" s="50" t="inlineStr">
        <is>
          <t>Standard serial data size and native match for common Linux/Python serial libraries</t>
        </is>
      </c>
      <c r="E19" s="50" t="n"/>
      <c r="F19" s="50" t="n"/>
      <c r="G19" s="50" t="n"/>
      <c r="H19" s="50" t="n"/>
      <c r="I19" s="50" t="n"/>
      <c r="J19" s="50" t="n"/>
      <c r="K19" s="50" t="n"/>
    </row>
    <row r="20">
      <c r="A20" s="50" t="inlineStr">
        <is>
          <t>Parity</t>
        </is>
      </c>
      <c r="B20" s="50" t="inlineStr">
        <is>
          <t>None</t>
        </is>
      </c>
      <c r="C20" s="50" t="inlineStr">
        <is>
          <t>Confirmed</t>
        </is>
      </c>
      <c r="D20" s="50" t="inlineStr">
        <is>
          <t>Keeps the link simple; packet-level checks can be added later if needed</t>
        </is>
      </c>
      <c r="E20" s="50" t="n"/>
      <c r="F20" s="50" t="n"/>
      <c r="G20" s="50" t="n"/>
      <c r="H20" s="50" t="n"/>
      <c r="I20" s="50" t="n"/>
      <c r="J20" s="50" t="n"/>
      <c r="K20" s="50" t="n"/>
    </row>
    <row r="21">
      <c r="A21" s="50" t="inlineStr">
        <is>
          <t>Stop bits</t>
        </is>
      </c>
      <c r="B21" s="50" t="inlineStr">
        <is>
          <t>1</t>
        </is>
      </c>
      <c r="C21" s="50" t="inlineStr">
        <is>
          <t>Confirmed</t>
        </is>
      </c>
      <c r="D21" s="50" t="inlineStr">
        <is>
          <t>Standard 8-N-1 framing minimizes overhead</t>
        </is>
      </c>
      <c r="E21" s="50" t="n"/>
      <c r="F21" s="50" t="n"/>
      <c r="G21" s="50" t="n"/>
      <c r="H21" s="50" t="n"/>
      <c r="I21" s="50" t="n"/>
      <c r="J21" s="50" t="n"/>
      <c r="K21" s="50" t="n"/>
    </row>
    <row r="22">
      <c r="A22" s="50" t="inlineStr">
        <is>
          <t>Hardware flow control</t>
        </is>
      </c>
      <c r="B22" s="50" t="inlineStr">
        <is>
          <t>None</t>
        </is>
      </c>
      <c r="C22" s="50" t="inlineStr">
        <is>
          <t>Confirmed</t>
        </is>
      </c>
      <c r="D22" s="50" t="inlineStr">
        <is>
          <t>Control traffic is low-rate; RTS/CTS would consume two extra MCU and Pi pins unnecessarily</t>
        </is>
      </c>
      <c r="E22" s="50" t="n"/>
      <c r="F22" s="50" t="n"/>
      <c r="G22" s="50" t="n"/>
      <c r="H22" s="50" t="n"/>
      <c r="I22" s="50" t="n"/>
      <c r="J22" s="50" t="n"/>
      <c r="K22" s="50" t="n"/>
    </row>
    <row r="23">
      <c r="A23" s="50" t="inlineStr">
        <is>
          <t>Oversampling</t>
        </is>
      </c>
      <c r="B23" s="50" t="inlineStr">
        <is>
          <t>16</t>
        </is>
      </c>
      <c r="C23" s="50" t="inlineStr">
        <is>
          <t>Confirmed</t>
        </is>
      </c>
      <c r="D23" s="50" t="inlineStr">
        <is>
          <t>Maximum timing margin and conventional choice at 115200 baud</t>
        </is>
      </c>
      <c r="E23" s="50" t="n"/>
      <c r="F23" s="50" t="n"/>
      <c r="G23" s="50" t="n"/>
      <c r="H23" s="50" t="n"/>
      <c r="I23" s="50" t="n"/>
      <c r="J23" s="50" t="n"/>
      <c r="K23" s="50" t="n"/>
    </row>
    <row r="24">
      <c r="A24" s="50" t="inlineStr">
        <is>
          <t>USART3 global interrupt</t>
        </is>
      </c>
      <c r="B24" s="50" t="inlineStr">
        <is>
          <t>Enable</t>
        </is>
      </c>
      <c r="C24" s="50" t="inlineStr">
        <is>
          <t>Confirmed</t>
        </is>
      </c>
      <c r="D24" s="50" t="inlineStr">
        <is>
          <t>Allows non-blocking/asynchronous reception of commands from the Pi</t>
        </is>
      </c>
      <c r="E24" s="50" t="n"/>
      <c r="F24" s="50" t="n"/>
      <c r="G24" s="50" t="n"/>
      <c r="H24" s="50" t="n"/>
      <c r="I24" s="50" t="n"/>
      <c r="J24" s="50" t="n"/>
      <c r="K24" s="50" t="n"/>
    </row>
    <row r="25">
      <c r="A25" s="50" t="inlineStr">
        <is>
          <t>DMA</t>
        </is>
      </c>
      <c r="B25" s="50" t="inlineStr">
        <is>
          <t>Disabled initially</t>
        </is>
      </c>
      <c r="C25" s="50" t="inlineStr">
        <is>
          <t>Confirmed</t>
        </is>
      </c>
      <c r="D25" s="50" t="inlineStr">
        <is>
          <t>Not needed at 115200 for small command packets; can be added later for sustained streams</t>
        </is>
      </c>
      <c r="E25" s="50" t="n"/>
      <c r="F25" s="50" t="n"/>
      <c r="G25" s="50" t="n"/>
      <c r="H25" s="50" t="n"/>
      <c r="I25" s="50" t="n"/>
      <c r="J25" s="50" t="n"/>
      <c r="K25" s="50" t="n"/>
    </row>
    <row r="26">
      <c r="A26" s="50" t="n"/>
      <c r="B26" s="50" t="n"/>
      <c r="C26" s="50" t="n"/>
      <c r="D26" s="50" t="n"/>
      <c r="E26" s="50" t="n"/>
      <c r="F26" s="50" t="n"/>
      <c r="G26" s="50" t="n"/>
      <c r="H26" s="50" t="n"/>
      <c r="I26" s="50" t="n"/>
      <c r="J26" s="50" t="n"/>
      <c r="K26" s="50" t="n"/>
    </row>
    <row r="27">
      <c r="A27" s="50" t="n"/>
      <c r="B27" s="50" t="n"/>
      <c r="C27" s="50" t="n"/>
      <c r="D27" s="50" t="n"/>
      <c r="E27" s="50" t="n"/>
      <c r="F27" s="50" t="n"/>
      <c r="G27" s="50" t="n"/>
      <c r="H27" s="50" t="n"/>
      <c r="I27" s="50" t="n"/>
      <c r="J27" s="50" t="n"/>
      <c r="K27" s="50" t="n"/>
    </row>
    <row r="28">
      <c r="A28" s="50" t="n"/>
      <c r="B28" s="50" t="n"/>
      <c r="C28" s="50" t="n"/>
      <c r="D28" s="50" t="n"/>
      <c r="E28" s="50" t="n"/>
      <c r="F28" s="50" t="n"/>
      <c r="G28" s="50" t="n"/>
      <c r="H28" s="50" t="n"/>
      <c r="I28" s="50" t="n"/>
      <c r="J28" s="50" t="n"/>
      <c r="K28" s="50" t="n"/>
    </row>
    <row r="29">
      <c r="A29" s="50" t="n"/>
      <c r="B29" s="50" t="n"/>
      <c r="C29" s="50" t="n"/>
      <c r="D29" s="50" t="n"/>
      <c r="E29" s="50" t="n"/>
      <c r="F29" s="50" t="n"/>
      <c r="G29" s="50" t="n"/>
      <c r="H29" s="50" t="n"/>
      <c r="I29" s="50" t="n"/>
      <c r="J29" s="50" t="n"/>
      <c r="K29" s="50" t="n"/>
    </row>
    <row r="30">
      <c r="A30" s="50" t="n"/>
      <c r="B30" s="50" t="n"/>
      <c r="C30" s="50" t="n"/>
      <c r="D30" s="50" t="n"/>
      <c r="E30" s="50" t="n"/>
      <c r="F30" s="50" t="n"/>
      <c r="G30" s="50" t="n"/>
      <c r="H30" s="50" t="n"/>
      <c r="I30" s="50" t="n"/>
      <c r="J30" s="50" t="n"/>
      <c r="K30" s="50" t="n"/>
    </row>
    <row r="31">
      <c r="A31" s="50" t="n"/>
      <c r="B31" s="50" t="n"/>
      <c r="C31" s="50" t="n"/>
      <c r="D31" s="50" t="n"/>
      <c r="E31" s="50" t="n"/>
      <c r="F31" s="50" t="n"/>
      <c r="G31" s="50" t="n"/>
      <c r="H31" s="50" t="n"/>
      <c r="I31" s="50" t="n"/>
      <c r="J31" s="50" t="n"/>
      <c r="K31" s="50" t="n"/>
    </row>
    <row r="32">
      <c r="A32" s="50" t="n"/>
      <c r="B32" s="50" t="n"/>
      <c r="C32" s="50" t="n"/>
      <c r="D32" s="50" t="n"/>
      <c r="E32" s="50" t="n"/>
      <c r="F32" s="50" t="n"/>
      <c r="G32" s="50" t="n"/>
      <c r="H32" s="50" t="n"/>
      <c r="I32" s="50" t="n"/>
      <c r="J32" s="50" t="n"/>
      <c r="K32" s="50" t="n"/>
    </row>
    <row r="33">
      <c r="A33" s="50" t="n"/>
      <c r="B33" s="50" t="n"/>
      <c r="C33" s="50" t="n"/>
      <c r="D33" s="50" t="n"/>
      <c r="E33" s="50" t="n"/>
      <c r="F33" s="50" t="n"/>
      <c r="G33" s="50" t="n"/>
      <c r="H33" s="50" t="n"/>
      <c r="I33" s="50" t="n"/>
      <c r="J33" s="50" t="n"/>
      <c r="K33" s="50" t="n"/>
    </row>
    <row r="34">
      <c r="A34" s="50" t="n"/>
      <c r="B34" s="50" t="n"/>
      <c r="C34" s="50" t="n"/>
      <c r="D34" s="50" t="n"/>
      <c r="E34" s="50" t="n"/>
      <c r="F34" s="50" t="n"/>
      <c r="G34" s="50" t="n"/>
      <c r="H34" s="50" t="n"/>
      <c r="I34" s="50" t="n"/>
      <c r="J34" s="50" t="n"/>
      <c r="K34" s="50" t="n"/>
    </row>
    <row r="35">
      <c r="A35" s="50" t="n"/>
      <c r="B35" s="50" t="n"/>
      <c r="C35" s="50" t="n"/>
      <c r="D35" s="50" t="n"/>
      <c r="E35" s="50" t="n"/>
      <c r="F35" s="50" t="n"/>
      <c r="G35" s="50" t="n"/>
      <c r="H35" s="50" t="n"/>
      <c r="I35" s="50" t="n"/>
      <c r="J35" s="50" t="n"/>
      <c r="K35" s="50" t="n"/>
    </row>
    <row r="36">
      <c r="A36" s="50" t="n"/>
      <c r="B36" s="50" t="n"/>
      <c r="C36" s="50" t="n"/>
      <c r="D36" s="50" t="n"/>
      <c r="E36" s="50" t="n"/>
      <c r="F36" s="50" t="n"/>
      <c r="G36" s="50" t="n"/>
      <c r="H36" s="50" t="n"/>
      <c r="I36" s="50" t="n"/>
      <c r="J36" s="50" t="n"/>
      <c r="K36" s="50" t="n"/>
    </row>
    <row r="37">
      <c r="A37" s="50" t="n"/>
      <c r="B37" s="50" t="n"/>
      <c r="C37" s="50" t="n"/>
      <c r="D37" s="50" t="n"/>
      <c r="E37" s="50" t="n"/>
      <c r="F37" s="50" t="n"/>
      <c r="G37" s="50" t="n"/>
      <c r="H37" s="50" t="n"/>
      <c r="I37" s="50" t="n"/>
      <c r="J37" s="50" t="n"/>
      <c r="K37" s="50" t="n"/>
    </row>
    <row r="38">
      <c r="A38" s="50" t="n"/>
      <c r="B38" s="50" t="n"/>
      <c r="C38" s="50" t="n"/>
      <c r="D38" s="50" t="n"/>
      <c r="E38" s="50" t="n"/>
      <c r="F38" s="50" t="n"/>
      <c r="G38" s="50" t="n"/>
      <c r="H38" s="50" t="n"/>
      <c r="I38" s="50" t="n"/>
      <c r="J38" s="50" t="n"/>
      <c r="K38" s="50" t="n"/>
    </row>
    <row r="39">
      <c r="A39" s="50" t="n"/>
      <c r="B39" s="50" t="n"/>
      <c r="C39" s="50" t="n"/>
      <c r="D39" s="50" t="n"/>
      <c r="E39" s="50" t="n"/>
      <c r="F39" s="50" t="n"/>
      <c r="G39" s="50" t="n"/>
      <c r="H39" s="50" t="n"/>
      <c r="I39" s="50" t="n"/>
      <c r="J39" s="50" t="n"/>
      <c r="K39" s="50" t="n"/>
    </row>
    <row r="40">
      <c r="A40" s="50" t="n"/>
      <c r="B40" s="50" t="n"/>
      <c r="C40" s="50" t="n"/>
      <c r="D40" s="50" t="n"/>
      <c r="E40" s="50" t="n"/>
      <c r="F40" s="50" t="n"/>
      <c r="G40" s="50" t="n"/>
      <c r="H40" s="50" t="n"/>
      <c r="I40" s="50" t="n"/>
      <c r="J40" s="50" t="n"/>
      <c r="K40" s="50" t="n"/>
    </row>
    <row r="41">
      <c r="A41" s="50" t="n"/>
      <c r="B41" s="50" t="n"/>
      <c r="C41" s="50" t="n"/>
      <c r="D41" s="50" t="n"/>
      <c r="E41" s="50" t="n"/>
      <c r="F41" s="50" t="n"/>
      <c r="G41" s="50" t="n"/>
      <c r="H41" s="50" t="n"/>
      <c r="I41" s="50" t="n"/>
      <c r="J41" s="50" t="n"/>
      <c r="K41" s="50" t="n"/>
    </row>
    <row r="42">
      <c r="A42" s="50" t="n"/>
      <c r="B42" s="50" t="n"/>
      <c r="C42" s="50" t="n"/>
      <c r="D42" s="50" t="n"/>
      <c r="E42" s="50" t="n"/>
      <c r="F42" s="50" t="n"/>
      <c r="G42" s="50" t="n"/>
      <c r="H42" s="50" t="n"/>
      <c r="I42" s="50" t="n"/>
      <c r="J42" s="50" t="n"/>
      <c r="K42" s="50" t="n"/>
    </row>
    <row r="43">
      <c r="A43" s="50" t="n"/>
      <c r="B43" s="50" t="n"/>
      <c r="C43" s="50" t="n"/>
      <c r="D43" s="50" t="n"/>
      <c r="E43" s="50" t="n"/>
      <c r="F43" s="50" t="n"/>
      <c r="G43" s="50" t="n"/>
      <c r="H43" s="50" t="n"/>
      <c r="I43" s="50" t="n"/>
      <c r="J43" s="50" t="n"/>
      <c r="K43" s="50" t="n"/>
    </row>
    <row r="44">
      <c r="A44" s="50" t="n"/>
      <c r="B44" s="50" t="n"/>
      <c r="C44" s="50" t="n"/>
      <c r="D44" s="50" t="n"/>
      <c r="E44" s="50" t="n"/>
      <c r="F44" s="50" t="n"/>
      <c r="G44" s="50" t="n"/>
      <c r="H44" s="50" t="n"/>
      <c r="I44" s="50" t="n"/>
      <c r="J44" s="50" t="n"/>
      <c r="K44" s="50" t="n"/>
    </row>
    <row r="45">
      <c r="A45" s="50" t="n"/>
      <c r="B45" s="50" t="n"/>
      <c r="C45" s="50" t="n"/>
      <c r="D45" s="50" t="n"/>
      <c r="E45" s="50" t="n"/>
      <c r="F45" s="50" t="n"/>
      <c r="G45" s="50" t="n"/>
      <c r="H45" s="50" t="n"/>
      <c r="I45" s="50" t="n"/>
      <c r="J45" s="50" t="n"/>
      <c r="K45" s="50" t="n"/>
    </row>
    <row r="46">
      <c r="A46" s="50" t="n"/>
      <c r="B46" s="50" t="n"/>
      <c r="C46" s="50" t="n"/>
      <c r="D46" s="50" t="n"/>
      <c r="E46" s="50" t="n"/>
      <c r="F46" s="50" t="n"/>
      <c r="G46" s="50" t="n"/>
      <c r="H46" s="50" t="n"/>
      <c r="I46" s="50" t="n"/>
      <c r="J46" s="50" t="n"/>
      <c r="K46" s="50" t="n"/>
    </row>
    <row r="47">
      <c r="A47" s="50" t="n"/>
      <c r="B47" s="50" t="n"/>
      <c r="C47" s="50" t="n"/>
      <c r="D47" s="50" t="n"/>
      <c r="E47" s="50" t="n"/>
      <c r="F47" s="50" t="n"/>
      <c r="G47" s="50" t="n"/>
      <c r="H47" s="50" t="n"/>
      <c r="I47" s="50" t="n"/>
      <c r="J47" s="50" t="n"/>
      <c r="K47" s="50" t="n"/>
    </row>
    <row r="48">
      <c r="A48" s="50" t="n"/>
      <c r="B48" s="50" t="n"/>
      <c r="C48" s="50" t="n"/>
      <c r="D48" s="50" t="n"/>
      <c r="E48" s="50" t="n"/>
      <c r="F48" s="50" t="n"/>
      <c r="G48" s="50" t="n"/>
      <c r="H48" s="50" t="n"/>
      <c r="I48" s="50" t="n"/>
      <c r="J48" s="50" t="n"/>
      <c r="K48" s="50" t="n"/>
    </row>
    <row r="49">
      <c r="A49" s="50" t="n"/>
      <c r="B49" s="50" t="n"/>
      <c r="C49" s="50" t="n"/>
      <c r="D49" s="50" t="n"/>
      <c r="E49" s="50" t="n"/>
      <c r="F49" s="50" t="n"/>
      <c r="G49" s="50" t="n"/>
      <c r="H49" s="50" t="n"/>
      <c r="I49" s="50" t="n"/>
      <c r="J49" s="50" t="n"/>
      <c r="K49" s="50" t="n"/>
    </row>
    <row r="50">
      <c r="A50" s="50" t="n"/>
      <c r="B50" s="50" t="n"/>
      <c r="C50" s="50" t="n"/>
      <c r="D50" s="50" t="n"/>
      <c r="E50" s="50" t="n"/>
      <c r="F50" s="50" t="n"/>
      <c r="G50" s="50" t="n"/>
      <c r="H50" s="50" t="n"/>
      <c r="I50" s="50" t="n"/>
      <c r="J50" s="50" t="n"/>
      <c r="K50" s="50" t="n"/>
    </row>
    <row r="51">
      <c r="A51" s="50" t="n"/>
      <c r="B51" s="50" t="n"/>
      <c r="C51" s="50" t="n"/>
      <c r="D51" s="50" t="n"/>
      <c r="E51" s="50" t="n"/>
      <c r="F51" s="50" t="n"/>
      <c r="G51" s="50" t="n"/>
      <c r="H51" s="50" t="n"/>
      <c r="I51" s="50" t="n"/>
      <c r="J51" s="50" t="n"/>
      <c r="K51" s="50" t="n"/>
    </row>
    <row r="52">
      <c r="A52" s="50" t="n"/>
      <c r="B52" s="50" t="n"/>
      <c r="C52" s="50" t="n"/>
      <c r="D52" s="50" t="n"/>
      <c r="E52" s="50" t="n"/>
      <c r="F52" s="50" t="n"/>
      <c r="G52" s="50" t="n"/>
      <c r="H52" s="50" t="n"/>
      <c r="I52" s="50" t="n"/>
      <c r="J52" s="50" t="n"/>
      <c r="K52" s="50" t="n"/>
    </row>
    <row r="53">
      <c r="A53" s="50" t="n"/>
      <c r="B53" s="50" t="n"/>
      <c r="C53" s="50" t="n"/>
      <c r="D53" s="50" t="n"/>
      <c r="E53" s="50" t="n"/>
      <c r="F53" s="50" t="n"/>
      <c r="G53" s="50" t="n"/>
      <c r="H53" s="50" t="n"/>
      <c r="I53" s="50" t="n"/>
      <c r="J53" s="50" t="n"/>
      <c r="K53" s="50" t="n"/>
    </row>
    <row r="54">
      <c r="A54" s="50" t="n"/>
      <c r="B54" s="50" t="n"/>
      <c r="C54" s="50" t="n"/>
      <c r="D54" s="50" t="n"/>
      <c r="E54" s="50" t="n"/>
      <c r="F54" s="50" t="n"/>
      <c r="G54" s="50" t="n"/>
      <c r="H54" s="50" t="n"/>
      <c r="I54" s="50" t="n"/>
      <c r="J54" s="50" t="n"/>
      <c r="K54" s="50" t="n"/>
    </row>
    <row r="55">
      <c r="A55" s="50" t="n"/>
      <c r="B55" s="50" t="n"/>
      <c r="C55" s="50" t="n"/>
      <c r="D55" s="50" t="n"/>
      <c r="E55" s="50" t="n"/>
      <c r="F55" s="50" t="n"/>
      <c r="G55" s="50" t="n"/>
      <c r="H55" s="50" t="n"/>
      <c r="I55" s="50" t="n"/>
      <c r="J55" s="50" t="n"/>
      <c r="K55" s="50" t="n"/>
    </row>
    <row r="56">
      <c r="A56" s="50" t="n"/>
      <c r="B56" s="50" t="n"/>
      <c r="C56" s="50" t="n"/>
      <c r="D56" s="50" t="n"/>
      <c r="E56" s="50" t="n"/>
      <c r="F56" s="50" t="n"/>
      <c r="G56" s="50" t="n"/>
      <c r="H56" s="50" t="n"/>
      <c r="I56" s="50" t="n"/>
      <c r="J56" s="50" t="n"/>
      <c r="K56" s="50" t="n"/>
    </row>
    <row r="57">
      <c r="A57" s="50" t="n"/>
      <c r="B57" s="50" t="n"/>
      <c r="C57" s="50" t="n"/>
      <c r="D57" s="50" t="n"/>
      <c r="E57" s="50" t="n"/>
      <c r="F57" s="50" t="n"/>
      <c r="G57" s="50" t="n"/>
      <c r="H57" s="50" t="n"/>
      <c r="I57" s="50" t="n"/>
      <c r="J57" s="50" t="n"/>
      <c r="K57" s="50" t="n"/>
    </row>
    <row r="58">
      <c r="A58" s="50" t="n"/>
      <c r="B58" s="50" t="n"/>
      <c r="C58" s="50" t="n"/>
      <c r="D58" s="50" t="n"/>
      <c r="E58" s="50" t="n"/>
      <c r="F58" s="50" t="n"/>
      <c r="G58" s="50" t="n"/>
      <c r="H58" s="50" t="n"/>
      <c r="I58" s="50" t="n"/>
      <c r="J58" s="50" t="n"/>
      <c r="K58" s="50" t="n"/>
    </row>
    <row r="59">
      <c r="A59" s="50" t="n"/>
      <c r="B59" s="50" t="n"/>
      <c r="C59" s="50" t="n"/>
      <c r="D59" s="50" t="n"/>
      <c r="E59" s="50" t="n"/>
      <c r="F59" s="50" t="n"/>
      <c r="G59" s="50" t="n"/>
      <c r="H59" s="50" t="n"/>
      <c r="I59" s="50" t="n"/>
      <c r="J59" s="50" t="n"/>
      <c r="K59" s="50" t="n"/>
    </row>
    <row r="60">
      <c r="A60" s="50" t="n"/>
      <c r="B60" s="50" t="n"/>
      <c r="C60" s="50" t="n"/>
      <c r="D60" s="50" t="n"/>
      <c r="E60" s="50" t="n"/>
      <c r="F60" s="50" t="n"/>
      <c r="G60" s="50" t="n"/>
      <c r="H60" s="50" t="n"/>
      <c r="I60" s="50" t="n"/>
      <c r="J60" s="50" t="n"/>
      <c r="K60" s="50" t="n"/>
    </row>
  </sheetData>
  <mergeCells count="1">
    <mergeCell ref="A1:G1"/>
  </mergeCells>
  <dataValidations count="1">
    <dataValidation sqref="E4:E30" showDropDown="0" showInputMessage="0" showErrorMessage="0" allowBlank="0" type="list">
      <formula1>"Confirmed,Configured,Needs verification,Hardware planned,Not configured,Changed"</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cols>
    <col width="14" customWidth="1" style="58" min="1" max="1"/>
    <col width="24" customWidth="1" style="58" min="2" max="2"/>
    <col width="38" customWidth="1" style="58" min="3" max="3"/>
    <col width="18" customWidth="1" style="58" min="4" max="4"/>
    <col width="62" customWidth="1" style="58" min="5" max="5"/>
  </cols>
  <sheetData>
    <row r="1">
      <c r="A1" s="226" t="inlineStr">
        <is>
          <t>Configuration Change Log</t>
        </is>
      </c>
      <c r="B1" s="227" t="n"/>
      <c r="C1" s="227" t="n"/>
      <c r="D1" s="227" t="n"/>
      <c r="E1" s="227" t="n"/>
      <c r="F1" s="50" t="n"/>
      <c r="G1" s="50" t="n"/>
      <c r="H1" s="50" t="n"/>
      <c r="I1" s="50" t="n"/>
      <c r="J1" s="50" t="n"/>
      <c r="K1" s="50" t="n"/>
    </row>
    <row r="2">
      <c r="A2" s="50" t="n"/>
      <c r="B2" s="50" t="n"/>
      <c r="C2" s="50" t="n"/>
      <c r="D2" s="50" t="n"/>
      <c r="E2" s="50" t="n"/>
      <c r="F2" s="50" t="n"/>
      <c r="G2" s="50" t="n"/>
      <c r="H2" s="50" t="n"/>
      <c r="I2" s="50" t="n"/>
      <c r="J2" s="50" t="n"/>
      <c r="K2" s="50" t="n"/>
    </row>
    <row r="3">
      <c r="A3" s="14" t="inlineStr">
        <is>
          <t>Date</t>
        </is>
      </c>
      <c r="B3" s="14" t="inlineStr">
        <is>
          <t>Area</t>
        </is>
      </c>
      <c r="C3" s="14" t="inlineStr">
        <is>
          <t>Change</t>
        </is>
      </c>
      <c r="D3" s="14" t="inlineStr">
        <is>
          <t>Status</t>
        </is>
      </c>
      <c r="E3" s="14" t="inlineStr">
        <is>
          <t>Notes</t>
        </is>
      </c>
      <c r="F3" s="50" t="n"/>
      <c r="G3" s="50" t="n"/>
      <c r="H3" s="50" t="n"/>
      <c r="I3" s="50" t="n"/>
      <c r="J3" s="50" t="n"/>
      <c r="K3" s="50" t="n"/>
    </row>
    <row r="4">
      <c r="A4" s="50" t="inlineStr">
        <is>
          <t>2026-09-14</t>
        </is>
      </c>
      <c r="B4" s="50" t="inlineStr">
        <is>
          <t>MCU</t>
        </is>
      </c>
      <c r="C4" s="50" t="inlineStr">
        <is>
          <t>Selected STM32G474CBT6 for STM32G474CBT6TR hardware</t>
        </is>
      </c>
      <c r="D4" s="51" t="inlineStr">
        <is>
          <t>Confirmed</t>
        </is>
      </c>
      <c r="E4" s="50" t="inlineStr">
        <is>
          <t>TR is packaging suffix</t>
        </is>
      </c>
      <c r="F4" s="50" t="n"/>
      <c r="G4" s="50" t="n"/>
      <c r="H4" s="50" t="n"/>
      <c r="I4" s="50" t="n"/>
      <c r="J4" s="50" t="n"/>
      <c r="K4" s="50" t="n"/>
    </row>
    <row r="5">
      <c r="A5" s="50" t="inlineStr">
        <is>
          <t>2026-09-14</t>
        </is>
      </c>
      <c r="B5" s="50" t="inlineStr">
        <is>
          <t>Clock</t>
        </is>
      </c>
      <c r="C5" s="50" t="inlineStr">
        <is>
          <t>Configured 100 MHz SYSCLK from HSI16 through PLL</t>
        </is>
      </c>
      <c r="D5" s="51" t="inlineStr">
        <is>
          <t>Confirmed</t>
        </is>
      </c>
      <c r="E5" s="50" t="inlineStr">
        <is>
          <t>PLLM /2, PLLN x25, PLLR /2</t>
        </is>
      </c>
      <c r="F5" s="50" t="n"/>
      <c r="G5" s="50" t="n"/>
      <c r="H5" s="50" t="n"/>
      <c r="I5" s="50" t="n"/>
      <c r="J5" s="50" t="n"/>
      <c r="K5" s="50" t="n"/>
    </row>
    <row r="6">
      <c r="A6" s="50" t="inlineStr">
        <is>
          <t>2026-09-14</t>
        </is>
      </c>
      <c r="B6" s="50" t="inlineStr">
        <is>
          <t>SYS</t>
        </is>
      </c>
      <c r="C6" s="50" t="inlineStr">
        <is>
          <t>Serial Wire confirmed for programming/debugging</t>
        </is>
      </c>
      <c r="D6" s="52" t="inlineStr">
        <is>
          <t>Confirmed</t>
        </is>
      </c>
      <c r="E6" s="50" t="inlineStr">
        <is>
          <t>PA13=SWDIO, PA14=SWCLK, PG10=NRST</t>
        </is>
      </c>
      <c r="F6" s="50" t="n"/>
      <c r="G6" s="50" t="n"/>
      <c r="H6" s="50" t="n"/>
      <c r="I6" s="50" t="n"/>
      <c r="J6" s="50" t="n"/>
      <c r="K6" s="50" t="n"/>
    </row>
    <row r="7">
      <c r="A7" s="50" t="inlineStr">
        <is>
          <t>2026-09-14</t>
        </is>
      </c>
      <c r="B7" s="50" t="inlineStr">
        <is>
          <t>Architecture</t>
        </is>
      </c>
      <c r="C7" s="50" t="inlineStr">
        <is>
          <t>Created full conflict-checked I/O plan before PCB layout</t>
        </is>
      </c>
      <c r="D7" s="50" t="inlineStr">
        <is>
          <t>Planned</t>
        </is>
      </c>
      <c r="E7" s="50" t="inlineStr">
        <is>
          <t>Separates motor PWM and servo PWM across dedicated timer groups</t>
        </is>
      </c>
      <c r="F7" s="50" t="n"/>
      <c r="G7" s="50" t="n"/>
      <c r="H7" s="50" t="n"/>
      <c r="I7" s="50" t="n"/>
      <c r="J7" s="50" t="n"/>
      <c r="K7" s="50" t="n"/>
    </row>
    <row r="8">
      <c r="A8" s="50" t="inlineStr">
        <is>
          <t>2026-09-14</t>
        </is>
      </c>
      <c r="B8" s="50" t="inlineStr">
        <is>
          <t>UART</t>
        </is>
      </c>
      <c r="C8" s="50" t="inlineStr">
        <is>
          <t>Selected USART3 PB10/PB11 for Raspberry Pi</t>
        </is>
      </c>
      <c r="D8" s="50" t="inlineStr">
        <is>
          <t>Configure now</t>
        </is>
      </c>
      <c r="E8" s="50" t="inlineStr">
        <is>
          <t>Recommended 115200 baud, 8 data bits, no parity, 1 stop bit</t>
        </is>
      </c>
      <c r="F8" s="50" t="n"/>
      <c r="G8" s="50" t="n"/>
      <c r="H8" s="50" t="n"/>
      <c r="I8" s="50" t="n"/>
      <c r="J8" s="50" t="n"/>
      <c r="K8" s="50" t="n"/>
    </row>
    <row r="9">
      <c r="A9" s="50" t="inlineStr">
        <is>
          <t>2026-09-14</t>
        </is>
      </c>
      <c r="B9" s="50" t="inlineStr">
        <is>
          <t>PWM</t>
        </is>
      </c>
      <c r="C9" s="50" t="inlineStr">
        <is>
          <t>Reserved TIM1+TIM2 for six motor PWM outputs</t>
        </is>
      </c>
      <c r="D9" s="50" t="inlineStr">
        <is>
          <t>Planned</t>
        </is>
      </c>
      <c r="E9" s="50" t="inlineStr">
        <is>
          <t>20 kHz recommended; BTS7960 rated for PWM up to 25 kHz</t>
        </is>
      </c>
      <c r="F9" s="50" t="n"/>
      <c r="G9" s="50" t="n"/>
      <c r="H9" s="50" t="n"/>
      <c r="I9" s="50" t="n"/>
      <c r="J9" s="50" t="n"/>
      <c r="K9" s="50" t="n"/>
    </row>
    <row r="10">
      <c r="A10" s="50" t="inlineStr">
        <is>
          <t>2026-09-14</t>
        </is>
      </c>
      <c r="B10" s="50" t="inlineStr">
        <is>
          <t>PWM</t>
        </is>
      </c>
      <c r="C10" s="50" t="inlineStr">
        <is>
          <t>Initially reserved TIM3+TIM15 for six servo PWM outputs</t>
        </is>
      </c>
      <c r="D10" s="50" t="inlineStr">
        <is>
          <t>Planned</t>
        </is>
      </c>
      <c r="E10" s="50" t="inlineStr">
        <is>
          <t>50 Hz baseline; independent duty/pulse width per channel</t>
        </is>
      </c>
      <c r="F10" s="50" t="n"/>
      <c r="G10" s="50" t="n"/>
      <c r="H10" s="50" t="n"/>
      <c r="I10" s="50" t="n"/>
      <c r="J10" s="50" t="n"/>
      <c r="K10" s="50" t="n"/>
    </row>
    <row r="11">
      <c r="A11" s="50" t="inlineStr">
        <is>
          <t>2026-09-14</t>
        </is>
      </c>
      <c r="B11" s="50" t="inlineStr">
        <is>
          <t>UART</t>
        </is>
      </c>
      <c r="C11" s="50" t="inlineStr">
        <is>
          <t>Defined USART3 bring-up settings</t>
        </is>
      </c>
      <c r="D11" s="50" t="inlineStr">
        <is>
          <t>Configure now</t>
        </is>
      </c>
      <c r="E11" s="50" t="inlineStr">
        <is>
          <t>Asynchronous 115200 8-N-1, no flow control, oversampling 16, IRQ enabled, DMA initially disabled</t>
        </is>
      </c>
      <c r="F11" s="50" t="n"/>
      <c r="G11" s="50" t="n"/>
      <c r="H11" s="50" t="n"/>
      <c r="I11" s="50" t="n"/>
      <c r="J11" s="50" t="n"/>
      <c r="K11" s="50" t="n"/>
    </row>
    <row r="12">
      <c r="A12" s="50" t="inlineStr">
        <is>
          <t>2026-09-14</t>
        </is>
      </c>
      <c r="B12" s="50" t="inlineStr">
        <is>
          <t>UART</t>
        </is>
      </c>
      <c r="C12" s="50" t="inlineStr">
        <is>
          <t>USART3 configuration completed</t>
        </is>
      </c>
      <c r="D12" s="50" t="inlineStr">
        <is>
          <t>Confirmed</t>
        </is>
      </c>
      <c r="E12" s="50" t="inlineStr">
        <is>
          <t>Asynchronous, PB10/PB11, 115200 baud, 8-N-1, no HW flow control, IRQ enabled</t>
        </is>
      </c>
      <c r="F12" s="50" t="n"/>
      <c r="G12" s="50" t="n"/>
      <c r="H12" s="50" t="n"/>
      <c r="I12" s="50" t="n"/>
      <c r="J12" s="50" t="n"/>
      <c r="K12" s="50" t="n"/>
    </row>
    <row r="13">
      <c r="A13" s="50" t="inlineStr">
        <is>
          <t>2026-09-14</t>
        </is>
      </c>
      <c r="B13" s="50" t="inlineStr">
        <is>
          <t>Architecture</t>
        </is>
      </c>
      <c r="C13" s="50" t="inlineStr">
        <is>
          <t>Clarified timer-channel independence</t>
        </is>
      </c>
      <c r="D13" s="50" t="inlineStr">
        <is>
          <t>Confirmed</t>
        </is>
      </c>
      <c r="E13" s="50" t="inlineStr">
        <is>
          <t>PWM channels on one timer share base frequency but have independent CCR/duty; separate timer per motor/servo is not required for simultaneous independent control</t>
        </is>
      </c>
      <c r="F13" s="50" t="n"/>
      <c r="G13" s="50" t="n"/>
      <c r="H13" s="50" t="n"/>
      <c r="I13" s="50" t="n"/>
      <c r="J13" s="50" t="n"/>
      <c r="K13" s="50" t="n"/>
    </row>
    <row r="14">
      <c r="A14" s="50" t="inlineStr">
        <is>
          <t>2026-09-14</t>
        </is>
      </c>
      <c r="B14" s="50" t="inlineStr">
        <is>
          <t>PWM</t>
        </is>
      </c>
      <c r="C14" s="50" t="inlineStr">
        <is>
          <t>Defined exact TIM1 motor PWM configuration</t>
        </is>
      </c>
      <c r="D14" s="50" t="inlineStr">
        <is>
          <t>Configure now</t>
        </is>
      </c>
      <c r="E14" s="50" t="inlineStr">
        <is>
          <t>100 MHz timer clock, PSC=0, ARR=4999, up-counting PWM mode 1, 20 kHz, initial CCR=0</t>
        </is>
      </c>
      <c r="F14" s="50" t="n"/>
      <c r="G14" s="50" t="n"/>
      <c r="H14" s="50" t="n"/>
      <c r="I14" s="50" t="n"/>
      <c r="J14" s="50" t="n"/>
      <c r="K14" s="50" t="n"/>
    </row>
    <row r="15">
      <c r="A15" s="50" t="inlineStr">
        <is>
          <t>2026-09-14</t>
        </is>
      </c>
      <c r="B15" s="50" t="inlineStr">
        <is>
          <t>Pinout</t>
        </is>
      </c>
      <c r="C15" s="50" t="inlineStr">
        <is>
          <t>Assigned TIM1 CH1-4 to accelerator/brake PWM pairs</t>
        </is>
      </c>
      <c r="D15" s="50" t="inlineStr">
        <is>
          <t>Configure now</t>
        </is>
      </c>
      <c r="E15" s="50" t="inlineStr">
        <is>
          <t>PA8/PA9 accelerator; PA10/PA11 brake</t>
        </is>
      </c>
      <c r="F15" s="50" t="n"/>
      <c r="G15" s="50" t="n"/>
      <c r="H15" s="50" t="n"/>
      <c r="I15" s="50" t="n"/>
      <c r="J15" s="50" t="n"/>
      <c r="K15" s="50" t="n"/>
    </row>
    <row r="16">
      <c r="A16" s="50" t="inlineStr">
        <is>
          <t>2026-09-14</t>
        </is>
      </c>
      <c r="B16" s="50" t="inlineStr">
        <is>
          <t>Safety</t>
        </is>
      </c>
      <c r="C16" s="50" t="inlineStr">
        <is>
          <t>Defined motor startup PWM policy</t>
        </is>
      </c>
      <c r="D16" s="50" t="inlineStr">
        <is>
          <t>Planned</t>
        </is>
      </c>
      <c r="E16" s="50" t="inlineStr">
        <is>
          <t>CCR starts at 0; enable GPIOs will later default LOW; only one direction PWM per motor normally active</t>
        </is>
      </c>
      <c r="F16" s="50" t="n"/>
      <c r="G16" s="50" t="n"/>
      <c r="H16" s="50" t="n"/>
      <c r="I16" s="50" t="n"/>
      <c r="J16" s="50" t="n"/>
      <c r="K16" s="50" t="n"/>
    </row>
    <row r="17">
      <c r="A17" s="50" t="inlineStr">
        <is>
          <t>2026-09-14</t>
        </is>
      </c>
      <c r="B17" s="50" t="inlineStr">
        <is>
          <t>PWM</t>
        </is>
      </c>
      <c r="C17" s="50" t="inlineStr">
        <is>
          <t>TIM1 motor PWM configuration completed</t>
        </is>
      </c>
      <c r="D17" s="50" t="inlineStr">
        <is>
          <t>Confirmed</t>
        </is>
      </c>
      <c r="E17" s="50" t="inlineStr">
        <is>
          <t>PA8-PA11; 20 kHz; PSC=0; ARR=4999; PWM mode 1; CCR=0; active high; no timer interrupt</t>
        </is>
      </c>
      <c r="F17" s="50" t="n"/>
      <c r="G17" s="50" t="n"/>
      <c r="H17" s="50" t="n"/>
      <c r="I17" s="50" t="n"/>
      <c r="J17" s="50" t="n"/>
      <c r="K17" s="50" t="n"/>
    </row>
    <row r="18">
      <c r="A18" s="50" t="inlineStr">
        <is>
          <t>2026-09-14</t>
        </is>
      </c>
      <c r="B18" s="50" t="inlineStr">
        <is>
          <t>TIM1 CKD</t>
        </is>
      </c>
      <c r="C18" s="50" t="inlineStr">
        <is>
          <t>Confirmed CubeMX "No Division" = CKD DIV1</t>
        </is>
      </c>
      <c r="D18" s="50" t="inlineStr">
        <is>
          <t>Confirmed</t>
        </is>
      </c>
      <c r="E18" s="50" t="inlineStr">
        <is>
          <t>Leave Internal Clock Division at No Division; dithering disabled</t>
        </is>
      </c>
      <c r="F18" s="50" t="n"/>
      <c r="G18" s="50" t="n"/>
      <c r="H18" s="50" t="n"/>
      <c r="I18" s="50" t="n"/>
      <c r="J18" s="50" t="n"/>
      <c r="K18" s="50" t="n"/>
    </row>
    <row r="19">
      <c r="A19" s="50" t="inlineStr">
        <is>
          <t>2026-09-14</t>
        </is>
      </c>
      <c r="B19" s="50" t="inlineStr">
        <is>
          <t>PWM</t>
        </is>
      </c>
      <c r="C19" s="50" t="inlineStr">
        <is>
          <t>Defined TIM2 steering PWM configuration</t>
        </is>
      </c>
      <c r="D19" s="50" t="inlineStr">
        <is>
          <t>Configure now</t>
        </is>
      </c>
      <c r="E19" s="50" t="inlineStr">
        <is>
          <t>PA0=TIM2_CH1, PA1=TIM2_CH2; same 20 kHz settings as TIM1</t>
        </is>
      </c>
      <c r="F19" s="50" t="n"/>
      <c r="G19" s="50" t="n"/>
      <c r="H19" s="50" t="n"/>
      <c r="I19" s="50" t="n"/>
      <c r="J19" s="50" t="n"/>
      <c r="K19" s="50" t="n"/>
    </row>
    <row r="20">
      <c r="A20" s="50" t="inlineStr">
        <is>
          <t>2026-09-14</t>
        </is>
      </c>
      <c r="B20" s="50" t="inlineStr">
        <is>
          <t>PWM</t>
        </is>
      </c>
      <c r="C20" s="50" t="inlineStr">
        <is>
          <t>TIM2 steering PWM configuration completed</t>
        </is>
      </c>
      <c r="D20" s="50" t="inlineStr">
        <is>
          <t>Confirmed</t>
        </is>
      </c>
      <c r="E20" s="50" t="inlineStr">
        <is>
          <t>PA0/PA1; 20 kHz; PSC=0; ARR=4999; PWM mode 1; initial CCR=0; active high; no timer interrupt</t>
        </is>
      </c>
      <c r="F20" s="50" t="n"/>
      <c r="G20" s="50" t="n"/>
      <c r="H20" s="50" t="n"/>
      <c r="I20" s="50" t="n"/>
      <c r="J20" s="50" t="n"/>
      <c r="K20" s="50" t="n"/>
    </row>
    <row r="21">
      <c r="A21" s="50" t="inlineStr">
        <is>
          <t>2026-09-14</t>
        </is>
      </c>
      <c r="B21" s="50" t="inlineStr">
        <is>
          <t>GPIO</t>
        </is>
      </c>
      <c r="C21" s="50" t="inlineStr">
        <is>
          <t>Defined six motor enable GPIO settings</t>
        </is>
      </c>
      <c r="D21" s="50" t="inlineStr">
        <is>
          <t>Configure now</t>
        </is>
      </c>
      <c r="E21" s="50" t="inlineStr">
        <is>
          <t>PA4, PA5, PB12-PB15; output push-pull; initial LOW; no pull; low speed</t>
        </is>
      </c>
      <c r="F21" s="50" t="n"/>
      <c r="G21" s="50" t="n"/>
      <c r="H21" s="50" t="n"/>
      <c r="I21" s="50" t="n"/>
      <c r="J21" s="50" t="n"/>
      <c r="K21" s="50" t="n"/>
    </row>
    <row r="22">
      <c r="A22" s="50" t="inlineStr">
        <is>
          <t>2026-09-14</t>
        </is>
      </c>
      <c r="B22" s="50" t="inlineStr">
        <is>
          <t>Safety</t>
        </is>
      </c>
      <c r="C22" s="50" t="inlineStr">
        <is>
          <t>Added external EN pull-down requirement</t>
        </is>
      </c>
      <c r="D22" s="50" t="inlineStr">
        <is>
          <t>Planned hardware change</t>
        </is>
      </c>
      <c r="E22" s="50" t="inlineStr">
        <is>
          <t>10 kOhm from each motor EN net to GND to keep drivers disabled during MCU reset/high-Z interval</t>
        </is>
      </c>
      <c r="F22" s="50" t="n"/>
      <c r="G22" s="50" t="n"/>
      <c r="H22" s="50" t="n"/>
      <c r="I22" s="50" t="n"/>
      <c r="J22" s="50" t="n"/>
      <c r="K22" s="50" t="n"/>
    </row>
    <row r="23">
      <c r="A23" s="50" t="inlineStr">
        <is>
          <t>2026-09-14</t>
        </is>
      </c>
      <c r="B23" s="50" t="inlineStr">
        <is>
          <t>GPIO</t>
        </is>
      </c>
      <c r="C23" s="50" t="inlineStr">
        <is>
          <t>Motor enable GPIO CubeMX configuration completed</t>
        </is>
      </c>
      <c r="D23" s="50" t="inlineStr">
        <is>
          <t>Confirmed</t>
        </is>
      </c>
      <c r="E23" s="50" t="inlineStr">
        <is>
          <t>PA4, PA5, PB12-PB15; push-pull; initial LOW; no pull; low speed. External 10 kOhm pull-downs remain a PCB action.</t>
        </is>
      </c>
      <c r="F23" s="50" t="n"/>
      <c r="G23" s="50" t="n"/>
      <c r="H23" s="50" t="n"/>
      <c r="I23" s="50" t="n"/>
      <c r="J23" s="50" t="n"/>
      <c r="K23" s="50" t="n"/>
    </row>
    <row r="24">
      <c r="A24" s="50" t="inlineStr">
        <is>
          <t>2026-09-14</t>
        </is>
      </c>
      <c r="B24" s="50" t="inlineStr">
        <is>
          <t>Servo PWM</t>
        </is>
      </c>
      <c r="C24" s="50" t="inlineStr">
        <is>
          <t>Defined TIM3 servo PWM configuration</t>
        </is>
      </c>
      <c r="D24" s="50" t="inlineStr">
        <is>
          <t>Confirmed</t>
        </is>
      </c>
      <c r="E24" s="50" t="inlineStr">
        <is>
          <t>PA6/PA7/PB0/PB1; 50 Hz; PSC=99; ARR=19999; 1 us timer tick; PWM Mode 1; initial CCR=0 so no servo position command is sent during boot.</t>
        </is>
      </c>
      <c r="F24" s="50" t="n"/>
      <c r="G24" s="50" t="n"/>
      <c r="H24" s="50" t="n"/>
      <c r="I24" s="50" t="n"/>
      <c r="J24" s="50" t="n"/>
      <c r="K24" s="50" t="n"/>
    </row>
    <row r="25">
      <c r="A25" s="50" t="inlineStr">
        <is>
          <t>2026-09-14</t>
        </is>
      </c>
      <c r="B25" s="50" t="inlineStr">
        <is>
          <t>Servo interface</t>
        </is>
      </c>
      <c r="C25" s="50" t="inlineStr">
        <is>
          <t>Resolved servo signal-level/reset hardware verification</t>
        </is>
      </c>
      <c r="D25" s="50" t="inlineStr">
        <is>
          <t>Resolved</t>
        </is>
      </c>
      <c r="E25" s="50" t="inlineStr">
        <is>
          <t>DS3235 documentation indicates 3.3-5 V PWM input compatibility, so the STM32 can drive the servo signal directly. Keep weak external pull-downs on servo PWM nets for reset/high-Z behavior.</t>
        </is>
      </c>
      <c r="F25" s="50" t="n"/>
      <c r="G25" s="50" t="n"/>
      <c r="H25" s="50" t="n"/>
      <c r="I25" s="50" t="n"/>
      <c r="J25" s="50" t="n"/>
      <c r="K25" s="50" t="n"/>
    </row>
    <row r="26">
      <c r="A26" s="50" t="inlineStr">
        <is>
          <t>2026-09-16</t>
        </is>
      </c>
      <c r="B26" s="50" t="inlineStr">
        <is>
          <t>Servo specification verified</t>
        </is>
      </c>
      <c r="C26" s="50" t="inlineStr">
        <is>
          <t>DS3235 servo specs added/confirmed</t>
        </is>
      </c>
      <c r="D26" s="50" t="inlineStr">
        <is>
          <t>Confirmed 3.3-5 V control input, 500-2500 us pulse range, 1500 us neutral, 50-330 Hz operation; retained 50 Hz bring-up configuration; added 6-servo 5 V current check.</t>
        </is>
      </c>
      <c r="E26" s="50" t="inlineStr">
        <is>
          <t>Servo Specification / Timer Configuration / Peripheral Plan</t>
        </is>
      </c>
      <c r="F26" s="50" t="n"/>
      <c r="G26" s="50" t="n"/>
      <c r="H26" s="50" t="n"/>
      <c r="I26" s="50" t="n"/>
      <c r="J26" s="50" t="n"/>
      <c r="K26" s="50" t="n"/>
    </row>
    <row r="27">
      <c r="A27" s="50" t="inlineStr">
        <is>
          <t>2026-09-16</t>
        </is>
      </c>
      <c r="B27" s="50" t="inlineStr">
        <is>
          <t>Servo PWM</t>
        </is>
      </c>
      <c r="C27" s="50" t="inlineStr">
        <is>
          <t>TIM3 completed; TIM15 initially planned</t>
        </is>
      </c>
      <c r="D27" s="50" t="inlineStr">
        <is>
          <t>Superseded</t>
        </is>
      </c>
      <c r="E27" s="50" t="inlineStr">
        <is>
          <t>TIM3 CH1-CH4 confirmed at 50 Hz / 1 us resolution. TIM15 was initially planned for PA2/PA3 but is superseded by TIM5 after checking the CubeMX configuration path.</t>
        </is>
      </c>
      <c r="F27" s="50" t="n"/>
      <c r="G27" s="50" t="n"/>
      <c r="H27" s="50" t="n"/>
      <c r="I27" s="50" t="n"/>
      <c r="J27" s="50" t="n"/>
      <c r="K27" s="50" t="n"/>
    </row>
    <row r="28">
      <c r="A28" s="50" t="inlineStr">
        <is>
          <t>2026-09-16</t>
        </is>
      </c>
      <c r="B28" s="50" t="inlineStr">
        <is>
          <t>Servo PWM</t>
        </is>
      </c>
      <c r="C28" s="50" t="inlineStr">
        <is>
          <t>Switched final servo pair from TIM15 to TIM5</t>
        </is>
      </c>
      <c r="D28" s="50" t="inlineStr">
        <is>
          <t>Configure next</t>
        </is>
      </c>
      <c r="E28" s="50" t="inlineStr">
        <is>
          <t>Use PA2=TIM5_CH3 and PA3=TIM5_CH4. Same servo timing: 100 MHz timer clock, PSC=99, ARR=19999, 50 Hz, PWM Mode 1, initial CCR=0, active high, no IRQ. This preserves the physical pins and leaves PB6/PB7 available.</t>
        </is>
      </c>
      <c r="F28" s="50" t="n"/>
      <c r="G28" s="50" t="n"/>
      <c r="H28" s="50" t="n"/>
      <c r="I28" s="50" t="n"/>
      <c r="J28" s="50" t="n"/>
      <c r="K28" s="50" t="n"/>
    </row>
    <row r="29">
      <c r="A29" s="50" t="inlineStr">
        <is>
          <t>2026-09-16</t>
        </is>
      </c>
      <c r="B29" s="50" t="inlineStr">
        <is>
          <t>Servo architecture</t>
        </is>
      </c>
      <c r="C29" s="50" t="inlineStr">
        <is>
          <t>Clarified one PWM signal per physical servo</t>
        </is>
      </c>
      <c r="D29" s="50" t="inlineStr">
        <is>
          <t>Confirmed</t>
        </is>
      </c>
      <c r="E29" s="50" t="inlineStr">
        <is>
          <t>Six servos require six total servo PWM outputs. Renamed tracker channels Servo 1 through Servo 6; each 6-pin servo header carries two independent servo signals plus duplicated 5 V/GND.</t>
        </is>
      </c>
      <c r="F29" s="50" t="n"/>
      <c r="G29" s="50" t="n"/>
      <c r="H29" s="50" t="n"/>
      <c r="I29" s="50" t="n"/>
      <c r="J29" s="50" t="n"/>
      <c r="K29" s="50" t="n"/>
    </row>
    <row r="30">
      <c r="A30" s="50" t="inlineStr">
        <is>
          <t>2026-09-16</t>
        </is>
      </c>
      <c r="B30" s="50" t="inlineStr">
        <is>
          <t>Servo PWM</t>
        </is>
      </c>
      <c r="C30" s="50" t="inlineStr">
        <is>
          <t>TIM5 servo PWM configuration treated as completed</t>
        </is>
      </c>
      <c r="D30" s="50" t="inlineStr">
        <is>
          <t>Confirmed</t>
        </is>
      </c>
      <c r="E30" s="50" t="inlineStr">
        <is>
          <t>PA2=TIM5_CH3 and PA3=TIM5_CH4; same 50 Hz / 1 us timing convention as TIM3. Six total servo PWM outputs are now allocated.</t>
        </is>
      </c>
      <c r="F30" s="50" t="n"/>
      <c r="G30" s="50" t="n"/>
      <c r="H30" s="50" t="n"/>
      <c r="I30" s="50" t="n"/>
      <c r="J30" s="50" t="n"/>
      <c r="K30" s="50" t="n"/>
    </row>
    <row r="31">
      <c r="A31" s="50" t="inlineStr">
        <is>
          <t>2026-09-16</t>
        </is>
      </c>
      <c r="B31" s="50" t="inlineStr">
        <is>
          <t>CubeMX workflow</t>
        </is>
      </c>
      <c r="C31" s="50" t="inlineStr">
        <is>
          <t>Completed primary peripheral allocation</t>
        </is>
      </c>
      <c r="D31" s="50" t="inlineStr">
        <is>
          <t>Confirmed</t>
        </is>
      </c>
      <c r="E31" s="50" t="inlineStr">
        <is>
          <t>Clock, SWD, Pi USART3, six motor PWM outputs, six motor EN GPIOs, and six servo PWM outputs are allocated without pin conflicts.</t>
        </is>
      </c>
      <c r="F31" s="50" t="n"/>
      <c r="G31" s="50" t="n"/>
      <c r="H31" s="50" t="n"/>
      <c r="I31" s="50" t="n"/>
      <c r="J31" s="50" t="n"/>
      <c r="K31" s="50" t="n"/>
    </row>
    <row r="32">
      <c r="A32" s="50" t="inlineStr">
        <is>
          <t>2026-09-16</t>
        </is>
      </c>
      <c r="B32" s="50" t="inlineStr">
        <is>
          <t>Project Manager</t>
        </is>
      </c>
      <c r="C32" s="50" t="inlineStr">
        <is>
          <t>Defined project/code-generation settings</t>
        </is>
      </c>
      <c r="D32" s="50" t="inlineStr">
        <is>
          <t>Next</t>
        </is>
      </c>
      <c r="E32" s="50" t="inlineStr">
        <is>
          <t>Next CubeMX phase is final pinout/NVIC sanity check followed by Project Manager and Code Generator configuration for STM32CubeIDE.</t>
        </is>
      </c>
      <c r="F32" s="50" t="n"/>
      <c r="G32" s="50" t="n"/>
      <c r="H32" s="50" t="n"/>
      <c r="I32" s="50" t="n"/>
      <c r="J32" s="50" t="n"/>
      <c r="K32" s="50" t="n"/>
    </row>
    <row r="33">
      <c r="A33" s="50" t="inlineStr">
        <is>
          <t>2026-09-16</t>
        </is>
      </c>
      <c r="B33" s="50" t="inlineStr">
        <is>
          <t>Solenoid control</t>
        </is>
      </c>
      <c r="C33" s="50" t="inlineStr">
        <is>
          <t>Added PA12 GPIO for solenoid valve command</t>
        </is>
      </c>
      <c r="D33" s="50" t="inlineStr">
        <is>
          <t>Confirmed</t>
        </is>
      </c>
      <c r="E33" s="50" t="inlineStr">
        <is>
          <t>PA12 = GPIO_Output, push-pull, initial LOW, No Pull, Low speed. External 10 kOhm pull-down recommended. PA12 must drive a suitable external MOSFET/driver/relay input rather than the valve coil directly; provide flyback suppression across/at the inductive load.</t>
        </is>
      </c>
      <c r="F33" s="50" t="n"/>
      <c r="G33" s="50" t="n"/>
      <c r="H33" s="50" t="n"/>
      <c r="I33" s="50" t="n"/>
      <c r="J33" s="50" t="n"/>
      <c r="K33" s="50" t="n"/>
    </row>
    <row r="34">
      <c r="A34" s="50" t="inlineStr">
        <is>
          <t>SWD/reset hardware review</t>
        </is>
      </c>
      <c r="B34" s="50" t="inlineStr">
        <is>
          <t>Updated</t>
        </is>
      </c>
      <c r="C34" s="50" t="inlineStr">
        <is>
          <t>PA13/SWDIO: internal pull-up, no external pull required; PA14/SWCLK: internal pull-down, no external pull required; PG10/NRST: internal pull-up, add 100 nF to GND and route to SWD header.</t>
        </is>
      </c>
      <c r="D34" s="50" t="inlineStr">
        <is>
          <t>ST RM0440 / AN5093</t>
        </is>
      </c>
      <c r="E34" s="50" t="inlineStr">
        <is>
          <t>Verified against STM32G4 documentation</t>
        </is>
      </c>
      <c r="F34" s="50" t="n"/>
      <c r="G34" s="50" t="n"/>
      <c r="H34" s="50" t="n"/>
      <c r="I34" s="50" t="n"/>
      <c r="J34" s="50" t="n"/>
      <c r="K34" s="50" t="n"/>
    </row>
    <row r="35">
      <c r="A35" s="50" t="inlineStr">
        <is>
          <t>2026-09-16</t>
        </is>
      </c>
      <c r="B35" s="50" t="inlineStr">
        <is>
          <t>Power/reset schematic review</t>
        </is>
      </c>
      <c r="C35" s="50" t="inlineStr">
        <is>
          <t>Added detailed VDD/VSS/VDDA/VSSA/VREF+/VBAT/BOOT0/NRST/SWD connection requirements and local decoupling guidance.</t>
        </is>
      </c>
      <c r="D35" s="50" t="inlineStr">
        <is>
          <t>Power &amp; Reset sheet</t>
        </is>
      </c>
      <c r="E35" s="50" t="inlineStr">
        <is>
          <t>Pending schematic implementation</t>
        </is>
      </c>
      <c r="F35" s="50" t="n"/>
      <c r="G35" s="50" t="n"/>
      <c r="H35" s="50" t="n"/>
      <c r="I35" s="50" t="n"/>
      <c r="J35" s="50" t="n"/>
      <c r="K35" s="50" t="n"/>
    </row>
    <row r="36">
      <c r="A36" s="50" t="n"/>
      <c r="B36" s="50" t="n"/>
      <c r="C36" s="50" t="n"/>
      <c r="D36" s="50" t="n"/>
      <c r="E36" s="50" t="n"/>
      <c r="F36" s="50" t="n"/>
      <c r="G36" s="50" t="n"/>
      <c r="H36" s="50" t="n"/>
      <c r="I36" s="50" t="n"/>
      <c r="J36" s="50" t="n"/>
      <c r="K36" s="50" t="n"/>
    </row>
    <row r="37">
      <c r="A37" s="50" t="n"/>
      <c r="B37" s="50" t="n"/>
      <c r="C37" s="50" t="n"/>
      <c r="D37" s="50" t="n"/>
      <c r="E37" s="50" t="n"/>
      <c r="F37" s="50" t="n"/>
      <c r="G37" s="50" t="n"/>
      <c r="H37" s="50" t="n"/>
      <c r="I37" s="50" t="n"/>
      <c r="J37" s="50" t="n"/>
      <c r="K37" s="50" t="n"/>
    </row>
    <row r="38">
      <c r="A38" s="50" t="n"/>
      <c r="B38" s="50" t="n"/>
      <c r="C38" s="50" t="n"/>
      <c r="D38" s="50" t="n"/>
      <c r="E38" s="50" t="n"/>
      <c r="F38" s="50" t="n"/>
      <c r="G38" s="50" t="n"/>
      <c r="H38" s="50" t="n"/>
      <c r="I38" s="50" t="n"/>
      <c r="J38" s="50" t="n"/>
      <c r="K38" s="50" t="n"/>
    </row>
    <row r="39">
      <c r="A39" s="50" t="n"/>
      <c r="B39" s="50" t="n"/>
      <c r="C39" s="50" t="n"/>
      <c r="D39" s="50" t="n"/>
      <c r="E39" s="50" t="n"/>
      <c r="F39" s="50" t="n"/>
      <c r="G39" s="50" t="n"/>
      <c r="H39" s="50" t="n"/>
      <c r="I39" s="50" t="n"/>
      <c r="J39" s="50" t="n"/>
      <c r="K39" s="50" t="n"/>
    </row>
    <row r="40">
      <c r="A40" s="50" t="n"/>
      <c r="B40" s="50" t="n"/>
      <c r="C40" s="50" t="n"/>
      <c r="D40" s="50" t="n"/>
      <c r="E40" s="50" t="n"/>
      <c r="F40" s="50" t="n"/>
      <c r="G40" s="50" t="n"/>
      <c r="H40" s="50" t="n"/>
      <c r="I40" s="50" t="n"/>
      <c r="J40" s="50" t="n"/>
      <c r="K40" s="50" t="n"/>
    </row>
    <row r="41">
      <c r="A41" s="50" t="n"/>
      <c r="B41" s="50" t="n"/>
      <c r="C41" s="50" t="n"/>
      <c r="D41" s="50" t="n"/>
      <c r="E41" s="50" t="n"/>
      <c r="F41" s="50" t="n"/>
      <c r="G41" s="50" t="n"/>
      <c r="H41" s="50" t="n"/>
      <c r="I41" s="50" t="n"/>
      <c r="J41" s="50" t="n"/>
      <c r="K41" s="50" t="n"/>
    </row>
    <row r="42">
      <c r="A42" s="50" t="n"/>
      <c r="B42" s="50" t="n"/>
      <c r="C42" s="50" t="n"/>
      <c r="D42" s="50" t="n"/>
      <c r="E42" s="50" t="n"/>
      <c r="F42" s="50" t="n"/>
      <c r="G42" s="50" t="n"/>
      <c r="H42" s="50" t="n"/>
      <c r="I42" s="50" t="n"/>
      <c r="J42" s="50" t="n"/>
      <c r="K42" s="50" t="n"/>
    </row>
    <row r="43">
      <c r="A43" s="50" t="n"/>
      <c r="B43" s="50" t="n"/>
      <c r="C43" s="50" t="n"/>
      <c r="D43" s="50" t="n"/>
      <c r="E43" s="50" t="n"/>
      <c r="F43" s="50" t="n"/>
      <c r="G43" s="50" t="n"/>
      <c r="H43" s="50" t="n"/>
      <c r="I43" s="50" t="n"/>
      <c r="J43" s="50" t="n"/>
      <c r="K43" s="50" t="n"/>
    </row>
    <row r="44">
      <c r="A44" s="50" t="n"/>
      <c r="B44" s="50" t="n"/>
      <c r="C44" s="50" t="n"/>
      <c r="D44" s="50" t="n"/>
      <c r="E44" s="50" t="n"/>
      <c r="F44" s="50" t="n"/>
      <c r="G44" s="50" t="n"/>
      <c r="H44" s="50" t="n"/>
      <c r="I44" s="50" t="n"/>
      <c r="J44" s="50" t="n"/>
      <c r="K44" s="50" t="n"/>
    </row>
    <row r="45">
      <c r="A45" s="50" t="n"/>
      <c r="B45" s="50" t="n"/>
      <c r="C45" s="50" t="n"/>
      <c r="D45" s="50" t="n"/>
      <c r="E45" s="50" t="n"/>
      <c r="F45" s="50" t="n"/>
      <c r="G45" s="50" t="n"/>
      <c r="H45" s="50" t="n"/>
      <c r="I45" s="50" t="n"/>
      <c r="J45" s="50" t="n"/>
      <c r="K45" s="50" t="n"/>
    </row>
    <row r="46">
      <c r="A46" s="50" t="n"/>
      <c r="B46" s="50" t="n"/>
      <c r="C46" s="50" t="n"/>
      <c r="D46" s="50" t="n"/>
      <c r="E46" s="50" t="n"/>
      <c r="F46" s="50" t="n"/>
      <c r="G46" s="50" t="n"/>
      <c r="H46" s="50" t="n"/>
      <c r="I46" s="50" t="n"/>
      <c r="J46" s="50" t="n"/>
      <c r="K46" s="50" t="n"/>
    </row>
    <row r="47">
      <c r="A47" s="50" t="n"/>
      <c r="B47" s="50" t="n"/>
      <c r="C47" s="50" t="n"/>
      <c r="D47" s="50" t="n"/>
      <c r="E47" s="50" t="n"/>
      <c r="F47" s="50" t="n"/>
      <c r="G47" s="50" t="n"/>
      <c r="H47" s="50" t="n"/>
      <c r="I47" s="50" t="n"/>
      <c r="J47" s="50" t="n"/>
      <c r="K47" s="50" t="n"/>
    </row>
    <row r="48">
      <c r="A48" s="50" t="n"/>
      <c r="B48" s="50" t="n"/>
      <c r="C48" s="50" t="n"/>
      <c r="D48" s="50" t="n"/>
      <c r="E48" s="50" t="n"/>
      <c r="F48" s="50" t="n"/>
      <c r="G48" s="50" t="n"/>
      <c r="H48" s="50" t="n"/>
      <c r="I48" s="50" t="n"/>
      <c r="J48" s="50" t="n"/>
      <c r="K48" s="50" t="n"/>
    </row>
    <row r="49">
      <c r="A49" s="50" t="n"/>
      <c r="B49" s="50" t="n"/>
      <c r="C49" s="50" t="n"/>
      <c r="D49" s="50" t="n"/>
      <c r="E49" s="50" t="n"/>
      <c r="F49" s="50" t="n"/>
      <c r="G49" s="50" t="n"/>
      <c r="H49" s="50" t="n"/>
      <c r="I49" s="50" t="n"/>
      <c r="J49" s="50" t="n"/>
      <c r="K49" s="50" t="n"/>
    </row>
    <row r="50">
      <c r="A50" s="50" t="n"/>
      <c r="B50" s="50" t="n"/>
      <c r="C50" s="50" t="n"/>
      <c r="D50" s="50" t="n"/>
      <c r="E50" s="50" t="n"/>
      <c r="F50" s="50" t="n"/>
      <c r="G50" s="50" t="n"/>
      <c r="H50" s="50" t="n"/>
      <c r="I50" s="50" t="n"/>
      <c r="J50" s="50" t="n"/>
      <c r="K50" s="50" t="n"/>
    </row>
    <row r="51">
      <c r="A51" s="50" t="n"/>
      <c r="B51" s="50" t="n"/>
      <c r="C51" s="50" t="n"/>
      <c r="D51" s="50" t="n"/>
      <c r="E51" s="50" t="n"/>
      <c r="F51" s="50" t="n"/>
      <c r="G51" s="50" t="n"/>
      <c r="H51" s="50" t="n"/>
      <c r="I51" s="50" t="n"/>
      <c r="J51" s="50" t="n"/>
      <c r="K51" s="50" t="n"/>
    </row>
    <row r="52">
      <c r="A52" s="50" t="n"/>
      <c r="B52" s="50" t="n"/>
      <c r="C52" s="50" t="n"/>
      <c r="D52" s="50" t="n"/>
      <c r="E52" s="50" t="n"/>
      <c r="F52" s="50" t="n"/>
      <c r="G52" s="50" t="n"/>
      <c r="H52" s="50" t="n"/>
      <c r="I52" s="50" t="n"/>
      <c r="J52" s="50" t="n"/>
      <c r="K52" s="50" t="n"/>
    </row>
    <row r="53">
      <c r="A53" s="50" t="n"/>
      <c r="B53" s="50" t="n"/>
      <c r="C53" s="50" t="n"/>
      <c r="D53" s="50" t="n"/>
      <c r="E53" s="50" t="n"/>
      <c r="F53" s="50" t="n"/>
      <c r="G53" s="50" t="n"/>
      <c r="H53" s="50" t="n"/>
      <c r="I53" s="50" t="n"/>
      <c r="J53" s="50" t="n"/>
      <c r="K53" s="50" t="n"/>
    </row>
    <row r="54">
      <c r="A54" s="50" t="n"/>
      <c r="B54" s="50" t="n"/>
      <c r="C54" s="50" t="n"/>
      <c r="D54" s="50" t="n"/>
      <c r="E54" s="50" t="n"/>
      <c r="F54" s="50" t="n"/>
      <c r="G54" s="50" t="n"/>
      <c r="H54" s="50" t="n"/>
      <c r="I54" s="50" t="n"/>
      <c r="J54" s="50" t="n"/>
      <c r="K54" s="50" t="n"/>
    </row>
    <row r="55">
      <c r="A55" s="50" t="n"/>
      <c r="B55" s="50" t="n"/>
      <c r="C55" s="50" t="n"/>
      <c r="D55" s="50" t="n"/>
      <c r="E55" s="50" t="n"/>
      <c r="F55" s="50" t="n"/>
      <c r="G55" s="50" t="n"/>
      <c r="H55" s="50" t="n"/>
      <c r="I55" s="50" t="n"/>
      <c r="J55" s="50" t="n"/>
      <c r="K55" s="50" t="n"/>
    </row>
    <row r="56">
      <c r="A56" s="50" t="n"/>
      <c r="B56" s="50" t="n"/>
      <c r="C56" s="50" t="n"/>
      <c r="D56" s="50" t="n"/>
      <c r="E56" s="50" t="n"/>
      <c r="F56" s="50" t="n"/>
      <c r="G56" s="50" t="n"/>
      <c r="H56" s="50" t="n"/>
      <c r="I56" s="50" t="n"/>
      <c r="J56" s="50" t="n"/>
      <c r="K56" s="50" t="n"/>
    </row>
    <row r="57">
      <c r="A57" s="50" t="n"/>
      <c r="B57" s="50" t="n"/>
      <c r="C57" s="50" t="n"/>
      <c r="D57" s="50" t="n"/>
      <c r="E57" s="50" t="n"/>
      <c r="F57" s="50" t="n"/>
      <c r="G57" s="50" t="n"/>
      <c r="H57" s="50" t="n"/>
      <c r="I57" s="50" t="n"/>
      <c r="J57" s="50" t="n"/>
      <c r="K57" s="50" t="n"/>
    </row>
    <row r="58">
      <c r="A58" s="50" t="n"/>
      <c r="B58" s="50" t="n"/>
      <c r="C58" s="50" t="n"/>
      <c r="D58" s="50" t="n"/>
      <c r="E58" s="50" t="n"/>
      <c r="F58" s="50" t="n"/>
      <c r="G58" s="50" t="n"/>
      <c r="H58" s="50" t="n"/>
      <c r="I58" s="50" t="n"/>
      <c r="J58" s="50" t="n"/>
      <c r="K58" s="50" t="n"/>
    </row>
    <row r="59">
      <c r="A59" s="50" t="n"/>
      <c r="B59" s="50" t="n"/>
      <c r="C59" s="50" t="n"/>
      <c r="D59" s="50" t="n"/>
      <c r="E59" s="50" t="n"/>
      <c r="F59" s="50" t="n"/>
      <c r="G59" s="50" t="n"/>
      <c r="H59" s="50" t="n"/>
      <c r="I59" s="50" t="n"/>
      <c r="J59" s="50" t="n"/>
      <c r="K59" s="50" t="n"/>
    </row>
    <row r="60">
      <c r="A60" s="50" t="n"/>
      <c r="B60" s="50" t="n"/>
      <c r="C60" s="50" t="n"/>
      <c r="D60" s="50" t="n"/>
      <c r="E60" s="50" t="n"/>
      <c r="F60" s="50" t="n"/>
      <c r="G60" s="50" t="n"/>
      <c r="H60" s="50" t="n"/>
      <c r="I60" s="50" t="n"/>
      <c r="J60" s="50" t="n"/>
      <c r="K60" s="50" t="n"/>
    </row>
    <row r="61">
      <c r="A61" s="228" t="inlineStr">
        <is>
          <t>2026-09-21</t>
        </is>
      </c>
      <c r="B61" s="228" t="inlineStr">
        <is>
          <t>Analog supply</t>
        </is>
      </c>
      <c r="C61" s="228" t="inlineStr">
        <is>
          <t>Selected direct 3V3 -&gt; VDDA connection; ferrite bead removed from required design</t>
        </is>
      </c>
      <c r="D61" s="228" t="inlineStr">
        <is>
          <t>Confirmed</t>
        </is>
      </c>
      <c r="E61" s="228" t="inlineStr">
        <is>
          <t>VDDA: 10 nF + 1 uF to VSSA. VREF+: tie directly to VDDA and decouple with 100 nF + 1 uF to VSSA. ST permits direct VDD/VDDA connection; bead remains optional for future noise mitigation.</t>
        </is>
      </c>
      <c r="F61" s="228" t="n"/>
      <c r="G61" s="228" t="n"/>
      <c r="H61" s="228" t="n"/>
      <c r="I61" s="228" t="n"/>
      <c r="J61" s="228" t="n"/>
      <c r="K61" s="228" t="n"/>
    </row>
    <row r="62" s="58">
      <c r="A62" s="115" t="inlineStr">
        <is>
          <t>2026-09-21</t>
        </is>
      </c>
      <c r="B62" s="115" t="inlineStr">
        <is>
          <t>Final schematic review</t>
        </is>
      </c>
      <c r="C62" s="115" t="inlineStr">
        <is>
          <t>Reviewed power converters, MCU support circuitry, connectors, and visible ERC warnings</t>
        </is>
      </c>
      <c r="D62" s="243" t="inlineStr">
        <is>
          <t>Action required</t>
        </is>
      </c>
      <c r="E62" s="115" t="inlineStr">
        <is>
          <t>Critical fixes: LMR51450 output-node wiring/5V naming, NSR020 C12 &gt;300 uF without Tunable Loop, VDD/VREF cap corrections, net-label alias cleanup, footprints, SOL_GPIO driver verification. Added Schematic Review sheet.</t>
        </is>
      </c>
    </row>
    <row r="63" s="58">
      <c r="A63" s="225" t="inlineStr">
        <is>
          <t>2026-09-21</t>
        </is>
      </c>
      <c r="B63" s="225" t="inlineStr">
        <is>
          <t>24-&gt;12 converter / main input</t>
        </is>
      </c>
      <c r="C63" s="225" t="inlineStr">
        <is>
          <t>Reviewed WG-24S1230 30 A converter and revised main-input/fuse/harness plan</t>
        </is>
      </c>
      <c r="D63" s="253" t="inlineStr">
        <is>
          <t>Action required</t>
        </is>
      </c>
      <c r="E63" s="225" t="inlineStr">
        <is>
          <t>Converter is 12 V/30 A/360 W with AWG12 output leads. Recommend dedicated high-current main connector (Mega-Fit class), 20 A MINI fuse candidate, and bulk-wire harness build after vehicle lengths are known.</t>
        </is>
      </c>
      <c r="F63" s="227" t="n"/>
      <c r="G63" s="227" t="n"/>
      <c r="H63" s="227" t="n"/>
      <c r="I63" s="227" t="n"/>
      <c r="J63" s="227" t="n"/>
      <c r="K63" s="227" t="n"/>
    </row>
    <row r="64" ht="45" customHeight="1" s="58">
      <c r="A64" s="225" t="inlineStr">
        <is>
          <t>2026-09-21</t>
        </is>
      </c>
      <c r="B64" s="225" t="inlineStr">
        <is>
          <t>Harness connector BOM</t>
        </is>
      </c>
      <c r="C64" s="225" t="inlineStr">
        <is>
          <t>Locked exact mating housings/crimp terminals for Mega-Fit, Micro-Fit and Mini-Fit families</t>
        </is>
      </c>
      <c r="D64" s="253" t="inlineStr">
        <is>
          <t>Updated</t>
        </is>
      </c>
      <c r="E64" s="225" t="inlineStr">
        <is>
          <t>Added Connector BOM sheet with exact MPNs and intended wire gauges; 0768290002 confirmed as PCB-mounted Mega-Fit header.</t>
        </is>
      </c>
    </row>
    <row r="65" ht="45" customHeight="1" s="58">
      <c r="A65" s="225" t="inlineStr">
        <is>
          <t>2026-09-21</t>
        </is>
      </c>
      <c r="B65" s="225" t="inlineStr">
        <is>
          <t>External solenoid driver</t>
        </is>
      </c>
      <c r="C65" s="225" t="inlineStr">
        <is>
          <t>Reviewed MOSFET/flyback circuit and reconfigured solenoid/pump header</t>
        </is>
      </c>
      <c r="D65" s="253" t="inlineStr">
        <is>
          <t>Action required</t>
        </is>
      </c>
      <c r="E65" s="225" t="inlineStr">
        <is>
          <t>Topology is correct. Replace 1N4001 with &gt;=3 A flyback diode; IRLZ44N at 3.3 V gate is not RDS(on)-guaranteed, so verify or replace for final robust design.</t>
        </is>
      </c>
    </row>
    <row r="66" ht="45" customHeight="1" s="58">
      <c r="A66" s="225" t="inlineStr">
        <is>
          <t>2026-09-21</t>
        </is>
      </c>
      <c r="B66" s="225" t="inlineStr">
        <is>
          <t>Solenoid/pump/modem connector</t>
        </is>
      </c>
      <c r="C66" s="225" t="inlineStr">
        <is>
          <t>Revised 6-pin branch connector strategy after modem was added</t>
        </is>
      </c>
      <c r="D66" s="253" t="inlineStr">
        <is>
          <t>Updated</t>
        </is>
      </c>
      <c r="E66" s="225" t="inlineStr">
        <is>
          <t>Use three dedicated 12V/GND pairs for pump, solenoid driver, and modem. Move SOL_GPIO to a separate low-current connector or use an 8-position Mini-Fit so SOL_GPIO can remain in the same harness. External solenoid driver already shows D2 flyback suppression; do not rely on an undocumented internal valve diode.</t>
        </is>
      </c>
      <c r="F66" s="227" t="n"/>
      <c r="G66" s="227" t="n"/>
      <c r="H66" s="227" t="n"/>
      <c r="I66" s="227" t="n"/>
      <c r="J66" s="227" t="n"/>
      <c r="K66" s="227" t="n"/>
    </row>
    <row r="67">
      <c r="A67" s="225" t="inlineStr">
        <is>
          <t>2026-09-21</t>
        </is>
      </c>
      <c r="B67" s="225" t="inlineStr">
        <is>
          <t>Solenoid GPIO harness routing</t>
        </is>
      </c>
      <c r="C67" s="225" t="inlineStr">
        <is>
          <t>Kept 6-pin branch header and moved SOL_GPIO to the offboard-STM header</t>
        </is>
      </c>
      <c r="D67" s="253" t="inlineStr">
        <is>
          <t>Confirmed</t>
        </is>
      </c>
      <c r="E67" s="225" t="inlineStr">
        <is>
          <t>6-pin Mini-Fit now carries three independent 12V/GND pairs for pump, solenoid driver, and modem. Main-input Mega-Fit header/housing and 20 A MINI fuse cart items confirmed; crimps/wire deferred until harness lengths are known.</t>
        </is>
      </c>
      <c r="F67" s="227" t="n"/>
      <c r="G67" s="227" t="n"/>
      <c r="H67" s="227" t="n"/>
      <c r="I67" s="227" t="n"/>
      <c r="J67" s="227" t="n"/>
      <c r="K67" s="227" t="n"/>
    </row>
    <row r="68">
      <c r="A68" s="225" t="inlineStr">
        <is>
          <t>2026-09-22</t>
        </is>
      </c>
      <c r="B68" s="225" t="inlineStr">
        <is>
          <t>Schematic cleanup</t>
        </is>
      </c>
      <c r="C68" s="225" t="inlineStr">
        <is>
          <t>Use single 3V3 net label for VDD1/VDD2/VDD3/VBAT nodes; identify decouplers by refdes/pin note</t>
        </is>
      </c>
      <c r="D68" s="253" t="inlineStr">
        <is>
          <t>Confirmed</t>
        </is>
      </c>
      <c r="E68" s="225" t="inlineStr">
        <is>
          <t>Avoids multiple-net-name ERC warnings without losing pin-to-cap documentation</t>
        </is>
      </c>
      <c r="F68" s="227" t="n"/>
    </row>
    <row r="69">
      <c r="A69" s="225" t="inlineStr">
        <is>
          <t>2026-09-22</t>
        </is>
      </c>
      <c r="B69" s="225" t="inlineStr">
        <is>
          <t>Schematic cleanup</t>
        </is>
      </c>
      <c r="C69" s="225" t="inlineStr">
        <is>
          <t>Remove duplicate *_STM labels on continuous PWM/EN/NRST nets with shunt pull-downs</t>
        </is>
      </c>
      <c r="D69" s="253" t="inlineStr">
        <is>
          <t>Confirmed</t>
        </is>
      </c>
      <c r="E69" s="225" t="inlineStr">
        <is>
          <t>A shunt pull-down does not create a second electrical node</t>
        </is>
      </c>
      <c r="F69" s="227" t="n"/>
    </row>
  </sheetData>
  <mergeCells count="1">
    <mergeCell ref="A1:E1"/>
  </mergeCells>
  <dataValidations count="1">
    <dataValidation sqref="D4:D100" showDropDown="0" showInputMessage="0" showErrorMessage="0" allowBlank="0" type="list">
      <formula1>"Confirmed,Configured,Needs verification,Hardware planned,Not configured,Changed"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8" customWidth="1" style="58" min="1" max="1"/>
    <col width="30" customWidth="1" style="58" min="2" max="2"/>
    <col width="30" customWidth="1" style="58" min="3" max="3"/>
    <col width="32" customWidth="1" style="58" min="4" max="4"/>
    <col width="52" customWidth="1" style="58" min="5" max="5"/>
    <col width="48" customWidth="1" style="58" min="6" max="6"/>
  </cols>
  <sheetData>
    <row r="1" ht="28" customHeight="1" s="58">
      <c r="A1" s="229" t="inlineStr">
        <is>
          <t>Design Decisions &amp; Logic</t>
        </is>
      </c>
      <c r="B1" s="227" t="n"/>
      <c r="C1" s="227" t="n"/>
      <c r="D1" s="227" t="n"/>
      <c r="E1" s="227" t="n"/>
      <c r="F1" s="227" t="n"/>
    </row>
    <row r="2">
      <c r="E2" s="75" t="n"/>
      <c r="F2" s="75" t="n"/>
    </row>
    <row r="3">
      <c r="A3" s="74" t="inlineStr">
        <is>
          <t>Area</t>
        </is>
      </c>
      <c r="B3" s="74" t="inlineStr">
        <is>
          <t>Decision</t>
        </is>
      </c>
      <c r="C3" s="74" t="inlineStr">
        <is>
          <t>Shared Resource</t>
        </is>
      </c>
      <c r="D3" s="74" t="inlineStr">
        <is>
          <t>Independent Control</t>
        </is>
      </c>
      <c r="E3" s="83" t="inlineStr">
        <is>
          <t>Why This Is Appropriate</t>
        </is>
      </c>
      <c r="F3" s="83" t="inlineStr">
        <is>
          <t>When We Would Change It</t>
        </is>
      </c>
    </row>
    <row r="4">
      <c r="A4" s="75" t="inlineStr">
        <is>
          <t>Pi communication</t>
        </is>
      </c>
      <c r="B4" s="75" t="inlineStr">
        <is>
          <t>USART3 Asynchronous, PB10/PB11, 115200 8-N-1</t>
        </is>
      </c>
      <c r="C4" s="75" t="inlineStr">
        <is>
          <t>Baud/framing settings for the link</t>
        </is>
      </c>
      <c r="D4" s="75" t="inlineStr">
        <is>
          <t>TX and RX data streams</t>
        </is>
      </c>
      <c r="E4" s="75" t="inlineStr">
        <is>
          <t>Pi UART is asynchronous; it has no clock line. This minimizes pins and is reliable for command/status data.</t>
        </is>
      </c>
      <c r="F4" s="75" t="inlineStr">
        <is>
          <t>Change baud only if throughput/testing demands it; add DMA if sustained traffic becomes high.</t>
        </is>
      </c>
    </row>
    <row r="5">
      <c r="A5" s="75" t="inlineStr">
        <is>
          <t>Motor PWM</t>
        </is>
      </c>
      <c r="B5" s="75" t="inlineStr">
        <is>
          <t>Use multiple channels across TIM1 + TIM2</t>
        </is>
      </c>
      <c r="C5" s="75" t="inlineStr">
        <is>
          <t>Each timer shares counter, prescaler (PSC), auto-reload (ARR), therefore base PWM frequency</t>
        </is>
      </c>
      <c r="D5" s="75" t="inlineStr">
        <is>
          <t>Each channel has its own compare register (CCR), so each PWM duty cycle is independent</t>
        </is>
      </c>
      <c r="E5" s="75" t="inlineStr">
        <is>
          <t>Motors can run at the same time at different commanded powers/speeds because duty cycle is independent even when frequency is shared.</t>
        </is>
      </c>
      <c r="F5" s="75" t="inlineStr">
        <is>
          <t>Give a motor a separate timer only if it truly needs a different PWM frequency, phase relationship, special trigger, or advanced protection behavior.</t>
        </is>
      </c>
    </row>
    <row r="6">
      <c r="A6" s="75" t="inlineStr">
        <is>
          <t>Servo PWM</t>
        </is>
      </c>
      <c r="B6" s="75" t="inlineStr">
        <is>
          <t>Use TIM3 + TIM5 channels at 50 Hz initially for DS3235 servos</t>
        </is>
      </c>
      <c r="C6" s="75" t="inlineStr">
        <is>
          <t>Each timer shares the servo frame period</t>
        </is>
      </c>
      <c r="D6" s="75" t="inlineStr">
        <is>
          <t>Each channel independently sets pulse width/CCR</t>
        </is>
      </c>
      <c r="E6" s="75" t="inlineStr">
        <is>
          <t>The DS3235 accepts the selected servo timing, and each channel independently commands pulse width/position. Add a 10 kOhm pull-down from each PWM signal to GND so the servo input remains LOW/no-pulse while the MCU pin is high-impedance during reset/programming; at 3.3 V this only draws about 0.33 mA when HIGH.</t>
        </is>
      </c>
      <c r="F6" s="75" t="inlineStr">
        <is>
          <t>Increase refresh rate only after bench testing shows a meaningful response benefit. Use separate timers only if different servo groups require different frame rates.</t>
        </is>
      </c>
    </row>
    <row r="7">
      <c r="A7" s="75" t="inlineStr">
        <is>
          <t>Timer resource rule</t>
        </is>
      </c>
      <c r="B7" s="75" t="inlineStr">
        <is>
          <t>Do not assign one timer per actuator by default</t>
        </is>
      </c>
      <c r="C7" s="75" t="inlineStr">
        <is>
          <t>Counter/base time</t>
        </is>
      </c>
      <c r="D7" s="75" t="inlineStr">
        <is>
          <t>Channel compare values</t>
        </is>
      </c>
      <c r="E7" s="75" t="inlineStr">
        <is>
          <t>STM32 timers are deliberately multi-channel; using one timer per actuator wastes scarce timer resources without adding independent duty control.</t>
        </is>
      </c>
      <c r="F7" s="75" t="inlineStr">
        <is>
          <t>Use separate timers when base frequencies must differ or when advanced timer features cannot be shared.</t>
        </is>
      </c>
    </row>
    <row r="8">
      <c r="A8" t="inlineStr">
        <is>
          <t>Motor PWM frequency</t>
        </is>
      </c>
      <c r="B8" t="inlineStr">
        <is>
          <t>Use 20 kHz for BTS7960 motor PWM</t>
        </is>
      </c>
      <c r="C8" t="inlineStr">
        <is>
          <t>TIM1/TIM2 base period</t>
        </is>
      </c>
      <c r="D8" t="inlineStr">
        <is>
          <t>Each channel duty cycle via its CCR</t>
        </is>
      </c>
      <c r="E8" s="75" t="inlineStr">
        <is>
          <t>20 kHz is below the driver 25 kHz PWM capability, leaves switching-frequency margin, and reduces audible motor whine compared with low-kHz PWM.</t>
        </is>
      </c>
      <c r="F8" s="75" t="inlineStr">
        <is>
          <t>Change only if motor acoustics, losses, EMI, or driver testing shows a better frequency.</t>
        </is>
      </c>
    </row>
    <row r="9">
      <c r="A9" t="inlineStr">
        <is>
          <t>TIM1 resolution</t>
        </is>
      </c>
      <c r="B9" t="inlineStr">
        <is>
          <t>PSC=0 and ARR=4999 at 100 MHz</t>
        </is>
      </c>
      <c r="C9" t="inlineStr">
        <is>
          <t>TIM1 16-bit counter</t>
        </is>
      </c>
      <c r="D9" t="inlineStr">
        <is>
          <t>CCR1-CCR4 can each range across the same 0..4999 period</t>
        </is>
      </c>
      <c r="E9" s="75" t="inlineStr">
        <is>
          <t>Keeping PSC at 0 gives 5000 duty steps (~0.02% resolution) while ARR comfortably fits the timer.</t>
        </is>
      </c>
      <c r="F9" s="75" t="inlineStr">
        <is>
          <t>Use a prescaler only if a much lower PWM frequency or longer timer period is required.</t>
        </is>
      </c>
    </row>
    <row r="10">
      <c r="A10" t="inlineStr">
        <is>
          <t>Motor startup safety</t>
        </is>
      </c>
      <c r="B10" t="inlineStr">
        <is>
          <t>Initialize motor PWM CCRs to 0 and later initialize EN GPIOs low</t>
        </is>
      </c>
      <c r="C10" t="inlineStr">
        <is>
          <t>PWM + EN gating</t>
        </is>
      </c>
      <c r="D10" t="inlineStr">
        <is>
          <t>Firmware raises only the required EN and PWM after validation</t>
        </is>
      </c>
      <c r="E10" s="75" t="inlineStr">
        <is>
          <t>Two independent conditions are required before motion: enabled driver plus nonzero PWM. This reduces unintended startup motion risk.</t>
        </is>
      </c>
      <c r="F10" s="75" t="inlineStr">
        <is>
          <t>Change only if the specific driver board requires different enable polarity/sequence.</t>
        </is>
      </c>
    </row>
    <row r="11">
      <c r="A11" s="75" t="inlineStr">
        <is>
          <t>Timer CKD wording</t>
        </is>
      </c>
      <c r="B11" s="75" t="inlineStr">
        <is>
          <t>Use CubeMX "No Division" for Internal Clock Division</t>
        </is>
      </c>
      <c r="C11" s="75" t="inlineStr">
        <is>
          <t>CKD = DIV1</t>
        </is>
      </c>
      <c r="D11" s="75" t="inlineStr">
        <is>
          <t>PWM PSC/ARR and per-channel CCR remain unchanged</t>
        </is>
      </c>
      <c r="E11" s="75" t="inlineStr">
        <is>
          <t>CubeMX wording differs from datasheet shorthand: "No Division" is the same setting as CKD/DIV1. It is appropriate because no dead-time/filter clock division is needed.</t>
        </is>
      </c>
      <c r="F11" s="75" t="inlineStr">
        <is>
          <t>Change CKD only if a later feature specifically needs a divided timer sampling/dead-time clock.</t>
        </is>
      </c>
    </row>
    <row r="12">
      <c r="A12" s="75" t="inlineStr">
        <is>
          <t>Motor EN GPIO mode</t>
        </is>
      </c>
      <c r="B12" s="75" t="inlineStr">
        <is>
          <t>Use push-pull GPIO, initial LOW, low speed, no internal pull</t>
        </is>
      </c>
      <c r="C12" s="75" t="inlineStr">
        <is>
          <t>GPIO output driver</t>
        </is>
      </c>
      <c r="D12" s="75" t="inlineStr">
        <is>
          <t>Each EN pin can be controlled independently</t>
        </is>
      </c>
      <c r="E12" s="75" t="inlineStr">
        <is>
          <t>Enable is a slow static logic signal, not PWM. Push-pull gives a strong defined logic level; LOW is the BTS7960 disabled state; low slew reduces unnecessary edge noise.</t>
        </is>
      </c>
      <c r="F12" s="75" t="inlineStr">
        <is>
          <t>Change only if the exact driver interface requires inverted/open-drain control.</t>
        </is>
      </c>
    </row>
    <row r="13">
      <c r="A13" s="75" t="inlineStr">
        <is>
          <t>Motor EN reset safety</t>
        </is>
      </c>
      <c r="B13" s="75" t="inlineStr">
        <is>
          <t>Add 10 kOhm external pull-down from every EN line to GND</t>
        </is>
      </c>
      <c r="C13" s="75" t="inlineStr">
        <is>
          <t>Hardware pull-down remains active while MCU is reset/unconfigured</t>
        </is>
      </c>
      <c r="D13" s="75" t="inlineStr">
        <is>
          <t>Firmware later overrides the resistor by driving HIGH</t>
        </is>
      </c>
      <c r="E13" s="75" t="inlineStr">
        <is>
          <t>STM32G4 GPIOs are high-impedance/analog around reset; CubeMX cannot guarantee LOW before initialization. The resistor guarantees the motor driver stays disabled during that interval.</t>
        </is>
      </c>
      <c r="F13" s="75" t="inlineStr">
        <is>
          <t>A different resistor may be chosen after measuring the exact module input/loading, but it must keep EN safely below its LOW threshold while not overloading a HIGH output.</t>
        </is>
      </c>
    </row>
    <row r="14">
      <c r="A14" s="75" t="inlineStr">
        <is>
          <t>Separate EN pins</t>
        </is>
      </c>
      <c r="B14" s="75" t="inlineStr">
        <is>
          <t>Keep both EN inputs of each motor driver separately connected to the MCU</t>
        </is>
      </c>
      <c r="C14" s="75" t="inlineStr">
        <is>
          <t>Both EN pins normally form one logical motor-enable state</t>
        </is>
      </c>
      <c r="D14" s="75" t="inlineStr">
        <is>
          <t>Firmware may control each half-bridge enable separately if needed</t>
        </is>
      </c>
      <c r="E14" s="75" t="inlineStr">
        <is>
          <t>Costs three extra GPIOs but preserves flexibility for debugging/fault isolation and matches the existing 2-EN connector architecture. Normal code should usually assert/deassert each pair together.</t>
        </is>
      </c>
      <c r="F14" s="75" t="inlineStr">
        <is>
          <t>If GPIO pressure becomes important, each motor EN pair could be tied together and driven from one GPIO after confirming module behavior.</t>
        </is>
      </c>
    </row>
    <row r="15">
      <c r="A15" t="inlineStr">
        <is>
          <t>Servo timer scale</t>
        </is>
      </c>
      <c r="B15" t="inlineStr">
        <is>
          <t>Use TIM3 PSC=99 so the counter runs at 1 MHz; ARR=19999 for 50 Hz</t>
        </is>
      </c>
      <c r="C15" t="inlineStr">
        <is>
          <t>TIM3 20 ms frame</t>
        </is>
      </c>
      <c r="D15" t="inlineStr">
        <is>
          <t>Each channel CCR directly represents high-time in microseconds</t>
        </is>
      </c>
      <c r="E15" s="75" t="inlineStr">
        <is>
          <t>This makes firmware/calibration intuitive: CCR=1000 means 1.0 ms, 1500 means 1.5 ms, etc., while still providing far more resolution than a normal servo needs.</t>
        </is>
      </c>
      <c r="F15" s="75" t="inlineStr">
        <is>
          <t>Change frame rate or pulse range only after checking the exact servo datasheet/mechanism.</t>
        </is>
      </c>
    </row>
    <row r="16">
      <c r="A16" t="inlineStr">
        <is>
          <t>Servo signal hardware safety</t>
        </is>
      </c>
      <c r="B16" t="inlineStr">
        <is>
          <t>Verify the selected 5 V servos accept a 3.3 V logic-high PWM input; consider a 10 kOhm pull-down on each PWM signal so it is held LOW while the MCU pin is high-impedance during reset.</t>
        </is>
      </c>
      <c r="C16" t="inlineStr">
        <is>
          <t>Six servo PWM nets</t>
        </is>
      </c>
      <c r="D16" t="inlineStr">
        <is>
          <t>Each signal remains independently driven by its timer channel after initialization</t>
        </is>
      </c>
      <c r="E16" s="75" t="inlineStr">
        <is>
          <t>The STM32 outputs 3.3 V logic while the servos are powered from 5 V. Many servos accept 3.3 V signals, but this must be verified for the actual part. A weak pull-down prevents a floating command line before CubeMX/firmware configures the GPIO alternate function.</t>
        </is>
      </c>
      <c r="F16" s="75" t="inlineStr">
        <is>
          <t>If the servo VIH specification is above the STM32 output-high guarantee, add a proper 3.3-to-5 V logic buffer/level shifter. Pull-down value can be adjusted based on input loading.</t>
        </is>
      </c>
    </row>
    <row r="17">
      <c r="A17" t="inlineStr">
        <is>
          <t>Final two servo channels</t>
        </is>
      </c>
      <c r="B17" t="inlineStr">
        <is>
          <t>Use TIM5_CH3/CH4 on PA2/PA3 instead of TIM15</t>
        </is>
      </c>
      <c r="C17" t="inlineStr">
        <is>
          <t>PA2/PA3 physical pins stay unchanged</t>
        </is>
      </c>
      <c r="D17" t="inlineStr">
        <is>
          <t>TIM5 configured PSC=99, ARR=19999, 50 Hz, 1 us/count</t>
        </is>
      </c>
      <c r="E17" t="inlineStr">
        <is>
          <t>TIM5 is a full general-purpose PWM timer and CubeMX exposes the required PWM modes cleanly. Using CH3/CH4 preserves the existing PA2/PA3 schematic plan and leaves PB6/PB7 free for future I2C/USART/FDCAN options. TIM8 would work but is an advanced motor-control timer and is unnecessary for simple servo pulses.</t>
        </is>
      </c>
      <c r="F17" t="inlineStr">
        <is>
          <t>STM32 RM0440 confirms TIM15 itself can generate PWM, so the switch is a tool/configuration simplification rather than a silicon limitation.</t>
        </is>
      </c>
    </row>
    <row r="18">
      <c r="A18" t="inlineStr">
        <is>
          <t>Servo wiring count</t>
        </is>
      </c>
      <c r="B18" t="inlineStr">
        <is>
          <t>One PWM/control signal per physical servo; six servos therefore require six total PWM outputs</t>
        </is>
      </c>
      <c r="C18" t="inlineStr">
        <is>
          <t>Three 6-pin headers each group two servos and duplicate 5 V/GND</t>
        </is>
      </c>
      <c r="D18" t="inlineStr">
        <is>
          <t>Each servo has its own timer channel / CCR and can be positioned independently</t>
        </is>
      </c>
      <c r="E18" t="inlineStr">
        <is>
          <t>RC servos encode position/direction in pulse width on a single signal wire; unlike the BTS7960 motor drivers, they do not need separate forward/reverse PWM inputs.</t>
        </is>
      </c>
      <c r="F18" t="inlineStr">
        <is>
          <t>Only change this if a future actuator is not a standard RC servo and explicitly requires a different interface.</t>
        </is>
      </c>
    </row>
    <row r="19">
      <c r="A19" t="inlineStr">
        <is>
          <t>SWD / reset hardware</t>
        </is>
      </c>
      <c r="B19" t="inlineStr">
        <is>
          <t>No external pulls on SWDIO/SWCLK; NRST gets 100 nF to GND and is routed to the SWD header</t>
        </is>
      </c>
      <c r="C19" t="inlineStr">
        <is>
          <t>PA13 internal pull-up; PA14 internal pull-down; NRST internal pull-up</t>
        </is>
      </c>
      <c r="D19" t="inlineStr">
        <is>
          <t>Programmer actively drives SWD lines and can assert NRST</t>
        </is>
      </c>
      <c r="E19" t="inlineStr">
        <is>
          <t>The STM32G4 already defines the debug-pin idle states internally. A pull-down on SWDIO or NRST would be counterproductive; the 100 nF NRST capacitor improves reset-noise immunity.</t>
        </is>
      </c>
      <c r="F19" t="inlineStr">
        <is>
          <t>Only add series damping or different reset conditioning if signal-integrity/testing on unusually long debug wiring shows a need.</t>
        </is>
      </c>
    </row>
    <row r="20">
      <c r="A20" s="225" t="inlineStr">
        <is>
          <t>VDDA / VREF filtering</t>
        </is>
      </c>
      <c r="B20" s="225" t="inlineStr">
        <is>
          <t>Use a direct 3V3 connection to VDDA; no ferrite bead in this revision. Tie VREF+ to VDDA.</t>
        </is>
      </c>
      <c r="C20" s="225" t="inlineStr">
        <is>
          <t>3.3 V rail and common ground plane</t>
        </is>
      </c>
      <c r="D20" s="225" t="inlineStr">
        <is>
          <t>Local decoupling remains separate at VDDA and VREF+ pins</t>
        </is>
      </c>
      <c r="E20" s="225" t="inlineStr">
        <is>
          <t>ST explicitly permits replacing the VDDA ferrite bead with a direct connection. For this control-oriented board, 10 nF + 1 uF at VDDA and 100 nF + 1 uF at VREF+ provide the required local decoupling without adding a bead.</t>
        </is>
      </c>
      <c r="F20" s="225" t="inlineStr">
        <is>
          <t>Add a ferrite bead or separate low-noise analog/reference source only if later ADC accuracy/noise testing shows that the direct connection is insufficient.</t>
        </is>
      </c>
    </row>
  </sheetData>
  <mergeCells count="1">
    <mergeCell ref="A1:F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cols>
    <col width="24" customWidth="1" style="58" min="1" max="1"/>
    <col width="30" customWidth="1" style="58" min="2" max="2"/>
    <col width="14" customWidth="1" style="58" min="3" max="3"/>
    <col width="12" customWidth="1" style="58" min="4" max="4"/>
    <col width="18" customWidth="1" style="58" min="5" max="5"/>
    <col width="58" customWidth="1" style="58" min="6" max="6"/>
    <col width="32" customWidth="1" style="58" min="7" max="7"/>
  </cols>
  <sheetData>
    <row r="1" ht="26" customHeight="1" s="58">
      <c r="A1" s="230" t="inlineStr">
        <is>
          <t>Timer / PWM Configuration</t>
        </is>
      </c>
      <c r="B1" s="227" t="n"/>
      <c r="C1" s="227" t="n"/>
      <c r="D1" s="227" t="n"/>
      <c r="E1" s="227" t="n"/>
      <c r="F1" s="227" t="n"/>
      <c r="G1" s="227" t="n"/>
    </row>
    <row r="2">
      <c r="F2" s="75" t="n"/>
    </row>
    <row r="3">
      <c r="A3" s="231" t="inlineStr">
        <is>
          <t>TIM1 - Accelerator + Brake Motor PWM (Configure Now)</t>
        </is>
      </c>
      <c r="B3" s="227" t="n"/>
      <c r="C3" s="227" t="n"/>
      <c r="D3" s="227" t="n"/>
      <c r="E3" s="227" t="n"/>
      <c r="F3" s="227" t="n"/>
      <c r="G3" s="227" t="n"/>
    </row>
    <row r="4">
      <c r="A4" s="111" t="inlineStr">
        <is>
          <t>Parameter</t>
        </is>
      </c>
      <c r="B4" s="112" t="inlineStr">
        <is>
          <t>CubeMX Setting / Value</t>
        </is>
      </c>
      <c r="C4" s="112" t="inlineStr">
        <is>
          <t>Numeric Value</t>
        </is>
      </c>
      <c r="D4" s="112" t="inlineStr">
        <is>
          <t>Units</t>
        </is>
      </c>
      <c r="E4" s="112" t="inlineStr">
        <is>
          <t>Status</t>
        </is>
      </c>
      <c r="F4" s="145" t="inlineStr">
        <is>
          <t>Logic / Rationale</t>
        </is>
      </c>
      <c r="G4" s="113" t="inlineStr">
        <is>
          <t>Source</t>
        </is>
      </c>
    </row>
    <row r="5">
      <c r="A5" s="114" t="inlineStr">
        <is>
          <t>Timer input clock</t>
        </is>
      </c>
      <c r="B5" s="115" t="inlineStr">
        <is>
          <t>100 MHz</t>
        </is>
      </c>
      <c r="C5" s="115" t="n">
        <v>100</v>
      </c>
      <c r="D5" s="115" t="inlineStr">
        <is>
          <t>MHz</t>
        </is>
      </c>
      <c r="E5" s="115" t="inlineStr">
        <is>
          <t>Confirmed</t>
        </is>
      </c>
      <c r="F5" s="115" t="inlineStr">
        <is>
          <t>TIM1 is on APB2. With the current CubeMX clock tree, APB2 timer clock is 100 MHz. This is the starting clock used by PSC and ARR.</t>
        </is>
      </c>
      <c r="G5" s="116" t="inlineStr">
        <is>
          <t>STM32CubeMX clock tree</t>
        </is>
      </c>
    </row>
    <row r="6">
      <c r="A6" s="114" t="inlineStr">
        <is>
          <t>Clock Source</t>
        </is>
      </c>
      <c r="B6" s="115" t="inlineStr">
        <is>
          <t>Internal Clock</t>
        </is>
      </c>
      <c r="C6" s="115" t="n"/>
      <c r="D6" s="115" t="n"/>
      <c r="E6" s="115" t="inlineStr">
        <is>
          <t>Confirmed</t>
        </is>
      </c>
      <c r="F6" s="115" t="inlineStr">
        <is>
          <t>The timer should count from the MCU peripheral clock. No external timer clock is needed because PWM timing is generated entirely inside the STM32.</t>
        </is>
      </c>
      <c r="G6" s="116" t="str"/>
    </row>
    <row r="7">
      <c r="A7" s="114" t="inlineStr">
        <is>
          <t>Prescaler (PSC)</t>
        </is>
      </c>
      <c r="B7" s="115" t="inlineStr">
        <is>
          <t>0</t>
        </is>
      </c>
      <c r="C7" s="115" t="n">
        <v>0</v>
      </c>
      <c r="D7" s="115" t="inlineStr">
        <is>
          <t>counts</t>
        </is>
      </c>
      <c r="E7" s="115" t="inlineStr">
        <is>
          <t>Confirmed</t>
        </is>
      </c>
      <c r="F7" s="115" t="inlineStr">
        <is>
          <t>Timer divides by PSC+1. PSC=0 means divide by 1, retaining the full 100 MHz timer resolution. ARR=4999 still fits easily in the 16-bit TIM1 counter.</t>
        </is>
      </c>
      <c r="G7" s="116" t="str"/>
    </row>
    <row r="8">
      <c r="A8" s="114" t="inlineStr">
        <is>
          <t>Counter Mode</t>
        </is>
      </c>
      <c r="B8" s="115" t="inlineStr">
        <is>
          <t>Up</t>
        </is>
      </c>
      <c r="C8" s="115" t="n"/>
      <c r="D8" s="115" t="n"/>
      <c r="E8" s="115" t="inlineStr">
        <is>
          <t>Confirmed</t>
        </is>
      </c>
      <c r="F8" s="115" t="inlineStr">
        <is>
          <t>Up-counting produces simple edge-aligned PWM. Center-aligned PWM is unnecessary for a BTS7960 logic input and complicates the frequency relationship.</t>
        </is>
      </c>
      <c r="G8" s="116" t="str"/>
    </row>
    <row r="9">
      <c r="A9" s="114" t="inlineStr">
        <is>
          <t>Counter Period (ARR)</t>
        </is>
      </c>
      <c r="B9" s="115" t="inlineStr">
        <is>
          <t>4999</t>
        </is>
      </c>
      <c r="C9" s="115" t="n">
        <v>4999</v>
      </c>
      <c r="D9" s="115" t="inlineStr">
        <is>
          <t>counts</t>
        </is>
      </c>
      <c r="E9" s="115" t="inlineStr">
        <is>
          <t>Confirmed</t>
        </is>
      </c>
      <c r="F9" s="115" t="inlineStr">
        <is>
          <t>PWM period uses ARR+1 counts. At 100 MHz with PSC=0, 5000 counts produces 20 kHz.</t>
        </is>
      </c>
      <c r="G9" s="116" t="str"/>
    </row>
    <row r="10">
      <c r="A10" s="114" t="inlineStr">
        <is>
          <t>Calculated PWM Frequency</t>
        </is>
      </c>
      <c r="B10" s="115" t="inlineStr">
        <is>
          <t>Calculated in C10</t>
        </is>
      </c>
      <c r="C10" s="232">
        <f>C5*1000000/((C7+1)*(C9+1))</f>
        <v/>
      </c>
      <c r="D10" s="115" t="inlineStr">
        <is>
          <t>Hz</t>
        </is>
      </c>
      <c r="E10" s="115" t="inlineStr">
        <is>
          <t>Confirmed</t>
        </is>
      </c>
      <c r="F10" s="115" t="inlineStr">
        <is>
          <t>Formula: fPWM = fTIM / ((PSC+1)(ARR+1)) = 100 MHz / (1 x 5000) = 20 kHz.</t>
        </is>
      </c>
      <c r="G10" s="116" t="str"/>
    </row>
    <row r="11">
      <c r="A11" s="114" t="inlineStr">
        <is>
          <t>Clock Division</t>
        </is>
      </c>
      <c r="B11" s="115" t="inlineStr">
        <is>
          <t>No Division (CKD = DIV1)</t>
        </is>
      </c>
      <c r="C11" s="115" t="n">
        <v>1</v>
      </c>
      <c r="D11" s="115" t="n"/>
      <c r="E11" s="115" t="inlineStr">
        <is>
          <t>Confirmed</t>
        </is>
      </c>
      <c r="F11" s="115" t="inlineStr">
        <is>
          <t>CubeMX labels CKD=DIV1 as "No Division." This is the desired setting: it does not divide the timer internal sampling/dead-time clock. CKD is separate from PSC and does not need to reduce the 100 MHz PWM counter clock.</t>
        </is>
      </c>
      <c r="G11" s="116" t="str"/>
    </row>
    <row r="12">
      <c r="A12" s="114" t="inlineStr">
        <is>
          <t>Repetition Counter</t>
        </is>
      </c>
      <c r="B12" s="115" t="inlineStr">
        <is>
          <t>0</t>
        </is>
      </c>
      <c r="C12" s="115" t="n">
        <v>0</v>
      </c>
      <c r="D12" s="115" t="inlineStr">
        <is>
          <t>periods</t>
        </is>
      </c>
      <c r="E12" s="115" t="inlineStr">
        <is>
          <t>Confirmed</t>
        </is>
      </c>
      <c r="F12" s="115" t="inlineStr">
        <is>
          <t>An advanced timer can delay update events for multiple cycles. We want normal PWM updates every period, so no repetition is needed.</t>
        </is>
      </c>
      <c r="G12" s="116" t="str"/>
    </row>
    <row r="13">
      <c r="A13" s="114" t="inlineStr">
        <is>
          <t>Auto-Reload Preload</t>
        </is>
      </c>
      <c r="B13" s="115" t="inlineStr">
        <is>
          <t>Enable</t>
        </is>
      </c>
      <c r="C13" s="115" t="n"/>
      <c r="D13" s="115" t="n"/>
      <c r="E13" s="115" t="inlineStr">
        <is>
          <t>Confirmed</t>
        </is>
      </c>
      <c r="F13" s="115" t="inlineStr">
        <is>
          <t>If ARR is ever changed, preload applies the new period cleanly on an update event instead of changing it partway through a PWM cycle.</t>
        </is>
      </c>
      <c r="G13" s="116" t="str"/>
    </row>
    <row r="14">
      <c r="A14" s="114" t="inlineStr">
        <is>
          <t>TIM1 Interrupt</t>
        </is>
      </c>
      <c r="B14" s="115" t="inlineStr">
        <is>
          <t>Disabled</t>
        </is>
      </c>
      <c r="C14" s="115" t="n"/>
      <c r="D14" s="115" t="n"/>
      <c r="E14" s="115" t="inlineStr">
        <is>
          <t>Confirmed</t>
        </is>
      </c>
      <c r="F14" s="115" t="inlineStr">
        <is>
          <t>PWM generation is done by timer hardware. An interrupt is not needed just to keep PWM running and would add unnecessary CPU overhead.</t>
        </is>
      </c>
      <c r="G14" s="116" t="str"/>
    </row>
    <row r="15">
      <c r="A15" s="114" t="inlineStr">
        <is>
          <t>Master/Slave / Trigger</t>
        </is>
      </c>
      <c r="B15" s="115" t="inlineStr">
        <is>
          <t>Leave default / disabled</t>
        </is>
      </c>
      <c r="C15" s="115" t="n"/>
      <c r="D15" s="115" t="n"/>
      <c r="E15" s="115" t="inlineStr">
        <is>
          <t>Confirmed</t>
        </is>
      </c>
      <c r="F15" s="115" t="inlineStr">
        <is>
          <t>The motor timers do not need phase synchronization. Each motor only needs the correct frequency and independent duty cycle.</t>
        </is>
      </c>
      <c r="G15" s="116" t="str"/>
    </row>
    <row r="16">
      <c r="A16" s="114" t="inlineStr">
        <is>
          <t>Dithering</t>
        </is>
      </c>
      <c r="B16" s="115" t="inlineStr">
        <is>
          <t>Disable</t>
        </is>
      </c>
      <c r="C16" s="115" t="n"/>
      <c r="D16" s="115" t="n"/>
      <c r="E16" s="115" t="inlineStr">
        <is>
          <t>Confirmed</t>
        </is>
      </c>
      <c r="F16" s="115" t="inlineStr">
        <is>
          <t>Dithering provides fractional timer-period/compare resolution for specialized waveform generation. A 100 MHz timer with ARR=4999 already gives 5000 duty steps at 20 kHz, so dithering adds complexity with no useful benefit here.</t>
        </is>
      </c>
      <c r="G16" s="116" t="n"/>
    </row>
    <row r="17">
      <c r="A17" s="233" t="inlineStr">
        <is>
          <t>TIM1 Channel Output Configuration</t>
        </is>
      </c>
      <c r="B17" s="227" t="n"/>
      <c r="C17" s="227" t="n"/>
      <c r="D17" s="227" t="n"/>
      <c r="E17" s="227" t="n"/>
      <c r="F17" s="227" t="n"/>
      <c r="G17" s="227" t="n"/>
    </row>
    <row r="18">
      <c r="A18" s="121" t="inlineStr">
        <is>
          <t>MCU Pin / Channel</t>
        </is>
      </c>
      <c r="B18" s="122" t="inlineStr">
        <is>
          <t>Project Signal</t>
        </is>
      </c>
      <c r="C18" s="122" t="inlineStr">
        <is>
          <t>Mode</t>
        </is>
      </c>
      <c r="D18" s="122" t="inlineStr">
        <is>
          <t>Initial Pulse (CCR)</t>
        </is>
      </c>
      <c r="E18" s="122" t="inlineStr">
        <is>
          <t>Polarity</t>
        </is>
      </c>
      <c r="F18" s="145" t="inlineStr">
        <is>
          <t>Why / Firmware Rule</t>
        </is>
      </c>
      <c r="G18" s="123" t="inlineStr">
        <is>
          <t>Status</t>
        </is>
      </c>
    </row>
    <row r="19">
      <c r="A19" s="114" t="inlineStr">
        <is>
          <t>PA8 / TIM1_CH1</t>
        </is>
      </c>
      <c r="B19" s="115" t="inlineStr">
        <is>
          <t>Accel Motor PWM1</t>
        </is>
      </c>
      <c r="C19" s="115" t="inlineStr">
        <is>
          <t>PWM Generation CH1 / PWM Mode 1</t>
        </is>
      </c>
      <c r="D19" s="115" t="n">
        <v>0</v>
      </c>
      <c r="E19" s="115" t="inlineStr">
        <is>
          <t>High</t>
        </is>
      </c>
      <c r="F19" s="115" t="inlineStr">
        <is>
          <t>One direction input for accelerator motor. Start at 0% duty for a safe no-command state.</t>
        </is>
      </c>
      <c r="G19" s="116" t="inlineStr">
        <is>
          <t>Confirmed</t>
        </is>
      </c>
    </row>
    <row r="20">
      <c r="A20" s="114" t="inlineStr">
        <is>
          <t>PA9 / TIM1_CH2</t>
        </is>
      </c>
      <c r="B20" s="115" t="inlineStr">
        <is>
          <t>Accel Motor PWM2</t>
        </is>
      </c>
      <c r="C20" s="115" t="inlineStr">
        <is>
          <t>PWM Generation CH2 / PWM Mode 1</t>
        </is>
      </c>
      <c r="D20" s="115" t="n">
        <v>0</v>
      </c>
      <c r="E20" s="115" t="inlineStr">
        <is>
          <t>High</t>
        </is>
      </c>
      <c r="F20" s="115" t="inlineStr">
        <is>
          <t>Opposite direction input. Firmware should normally drive only one of the two direction PWM inputs at a time.</t>
        </is>
      </c>
      <c r="G20" s="116" t="inlineStr">
        <is>
          <t>Confirmed</t>
        </is>
      </c>
    </row>
    <row r="21">
      <c r="A21" s="114" t="inlineStr">
        <is>
          <t>PA10 / TIM1_CH3</t>
        </is>
      </c>
      <c r="B21" s="115" t="inlineStr">
        <is>
          <t>Brake Motor PWM1</t>
        </is>
      </c>
      <c r="C21" s="115" t="inlineStr">
        <is>
          <t>PWM Generation CH3 / PWM Mode 1</t>
        </is>
      </c>
      <c r="D21" s="115" t="n">
        <v>0</v>
      </c>
      <c r="E21" s="115" t="inlineStr">
        <is>
          <t>High</t>
        </is>
      </c>
      <c r="F21" s="115" t="inlineStr">
        <is>
          <t>First brake direction input; independent CCR permits a duty cycle different from accelerator channels.</t>
        </is>
      </c>
      <c r="G21" s="116" t="inlineStr">
        <is>
          <t>Confirmed</t>
        </is>
      </c>
    </row>
    <row r="22">
      <c r="A22" s="114" t="inlineStr">
        <is>
          <t>PA11 / TIM1_CH4</t>
        </is>
      </c>
      <c r="B22" s="115" t="inlineStr">
        <is>
          <t>Brake Motor PWM2</t>
        </is>
      </c>
      <c r="C22" s="115" t="inlineStr">
        <is>
          <t>PWM Generation CH4 / PWM Mode 1</t>
        </is>
      </c>
      <c r="D22" s="115" t="n">
        <v>0</v>
      </c>
      <c r="E22" s="115" t="inlineStr">
        <is>
          <t>High</t>
        </is>
      </c>
      <c r="F22" s="115" t="inlineStr">
        <is>
          <t>Second brake direction input; PA11 alternate function supports TIM1_CH4.</t>
        </is>
      </c>
      <c r="G22" s="116" t="inlineStr">
        <is>
          <t>Confirmed</t>
        </is>
      </c>
    </row>
    <row r="23">
      <c r="A23" s="114" t="n"/>
      <c r="B23" s="115" t="n"/>
      <c r="C23" s="115" t="n"/>
      <c r="D23" s="115" t="n"/>
      <c r="E23" s="115" t="n"/>
      <c r="F23" s="115" t="n"/>
      <c r="G23" s="116" t="n"/>
    </row>
    <row r="24">
      <c r="A24" s="114" t="n"/>
      <c r="B24" s="115" t="n"/>
      <c r="C24" s="115" t="n"/>
      <c r="D24" s="115" t="n"/>
      <c r="E24" s="115" t="n"/>
      <c r="F24" s="115" t="n"/>
      <c r="G24" s="116" t="n"/>
    </row>
    <row r="25">
      <c r="A25" s="234" t="inlineStr">
        <is>
          <t>Shared PWM Channel Settings</t>
        </is>
      </c>
      <c r="B25" s="227" t="n"/>
      <c r="C25" s="227" t="n"/>
      <c r="D25" s="227" t="n"/>
      <c r="E25" s="227" t="n"/>
      <c r="F25" s="227" t="n"/>
      <c r="G25" s="227" t="n"/>
    </row>
    <row r="26">
      <c r="A26" s="121" t="inlineStr">
        <is>
          <t>Setting</t>
        </is>
      </c>
      <c r="B26" s="122" t="inlineStr">
        <is>
          <t>Value</t>
        </is>
      </c>
      <c r="C26" s="122" t="str"/>
      <c r="D26" s="122" t="str"/>
      <c r="E26" s="122" t="inlineStr">
        <is>
          <t>Status</t>
        </is>
      </c>
      <c r="F26" s="145" t="inlineStr">
        <is>
          <t>Logic / Rationale</t>
        </is>
      </c>
      <c r="G26" s="123" t="str"/>
    </row>
    <row r="27">
      <c r="A27" s="114" t="inlineStr">
        <is>
          <t>PWM Mode</t>
        </is>
      </c>
      <c r="B27" s="115" t="inlineStr">
        <is>
          <t>PWM mode 1</t>
        </is>
      </c>
      <c r="C27" s="115" t="str"/>
      <c r="D27" s="115" t="str"/>
      <c r="E27" s="115" t="inlineStr">
        <is>
          <t>Confirmed</t>
        </is>
      </c>
      <c r="F27" s="115" t="inlineStr">
        <is>
          <t>With active-high polarity and up-counting, the output is high while CNT &lt; CCR. That gives an intuitive duty cycle: CCR=0 is off and larger CCR means more on-time.</t>
        </is>
      </c>
      <c r="G27" s="116" t="str"/>
    </row>
    <row r="28">
      <c r="A28" s="114" t="inlineStr">
        <is>
          <t>Pulse / CCR at initialization</t>
        </is>
      </c>
      <c r="B28" s="115" t="inlineStr">
        <is>
          <t>0</t>
        </is>
      </c>
      <c r="C28" s="115" t="str"/>
      <c r="D28" s="115" t="str"/>
      <c r="E28" s="115" t="inlineStr">
        <is>
          <t>Confirmed</t>
        </is>
      </c>
      <c r="F28" s="115" t="inlineStr">
        <is>
          <t>Boot with 0% motor command. Motor EN pins will also later default low, giving a second layer of startup safety.</t>
        </is>
      </c>
      <c r="G28" s="116" t="str"/>
    </row>
    <row r="29">
      <c r="A29" s="114" t="inlineStr">
        <is>
          <t>Output Compare Polarity</t>
        </is>
      </c>
      <c r="B29" s="115" t="inlineStr">
        <is>
          <t>High</t>
        </is>
      </c>
      <c r="C29" s="115" t="str"/>
      <c r="D29" s="115" t="str"/>
      <c r="E29" s="115" t="inlineStr">
        <is>
          <t>Confirmed</t>
        </is>
      </c>
      <c r="F29" s="115" t="inlineStr">
        <is>
          <t>The BTS7960 control input is active-high logic, so a high PWM pulse is the natural command polarity.</t>
        </is>
      </c>
      <c r="G29" s="116" t="str"/>
    </row>
    <row r="30">
      <c r="A30" s="114" t="inlineStr">
        <is>
          <t>Fast Mode</t>
        </is>
      </c>
      <c r="B30" s="115" t="inlineStr">
        <is>
          <t>Disable</t>
        </is>
      </c>
      <c r="C30" s="115" t="str"/>
      <c r="D30" s="115" t="str"/>
      <c r="E30" s="115" t="inlineStr">
        <is>
          <t>Confirmed</t>
        </is>
      </c>
      <c r="F30" s="115" t="inlineStr">
        <is>
          <t>OC fast mode is for special trigger-response behavior. It provides no benefit for steady motor PWM and is best left disabled.</t>
        </is>
      </c>
      <c r="G30" s="116" t="str"/>
    </row>
    <row r="31">
      <c r="A31" s="114" t="inlineStr">
        <is>
          <t>Complementary outputs / dead time</t>
        </is>
      </c>
      <c r="B31" s="115" t="inlineStr">
        <is>
          <t>Not used</t>
        </is>
      </c>
      <c r="C31" s="115" t="str"/>
      <c r="D31" s="115" t="str"/>
      <c r="E31" s="115" t="inlineStr">
        <is>
          <t>Confirmed design choice</t>
        </is>
      </c>
      <c r="F31" s="115" t="inlineStr">
        <is>
          <t>We are feeding logic-level PWM inputs on a motor-driver module, not directly driving MOSFET high/low gates. Complementary PWM and dead-time generation are therefore unnecessary.</t>
        </is>
      </c>
      <c r="G31" s="116" t="str"/>
    </row>
    <row r="32">
      <c r="A32" s="114" t="n"/>
      <c r="B32" s="115" t="n"/>
      <c r="C32" s="115" t="n"/>
      <c r="D32" s="115" t="n"/>
      <c r="E32" s="115" t="n"/>
      <c r="F32" s="115" t="n"/>
      <c r="G32" s="116" t="n"/>
    </row>
    <row r="33">
      <c r="A33" s="114" t="n"/>
      <c r="B33" s="115" t="n"/>
      <c r="C33" s="115" t="n"/>
      <c r="D33" s="115" t="n"/>
      <c r="E33" s="115" t="n"/>
      <c r="F33" s="115" t="n"/>
      <c r="G33" s="116" t="n"/>
    </row>
    <row r="34">
      <c r="A34" s="235" t="inlineStr">
        <is>
          <t>Safety / Control Note</t>
        </is>
      </c>
      <c r="B34" s="227" t="n"/>
      <c r="C34" s="227" t="n"/>
      <c r="D34" s="227" t="n"/>
      <c r="E34" s="227" t="n"/>
      <c r="F34" s="227" t="n"/>
      <c r="G34" s="227" t="n"/>
    </row>
    <row r="35">
      <c r="A35" s="225" t="inlineStr">
        <is>
          <t>For each bidirectional motor, the two PWM inputs represent opposite drive directions. The normal firmware rule should be: command PWM on only one direction input while holding the opposite input at 0, unless a specific braking mode is intentionally implemented and verified against the motor-driver module behavior. The separate EN signals should remain LOW until MCU initialization and command validation are complete.</t>
        </is>
      </c>
      <c r="B35" s="227" t="n"/>
      <c r="C35" s="227" t="n"/>
      <c r="D35" s="227" t="n"/>
      <c r="E35" s="227" t="n"/>
      <c r="F35" s="227" t="n"/>
      <c r="G35" s="227" t="n"/>
    </row>
    <row r="36">
      <c r="A36" s="227" t="n"/>
      <c r="B36" s="227" t="n"/>
      <c r="C36" s="227" t="n"/>
      <c r="D36" s="227" t="n"/>
      <c r="E36" s="227" t="n"/>
      <c r="F36" s="227" t="n"/>
      <c r="G36" s="227" t="n"/>
    </row>
    <row r="37">
      <c r="F37" s="75" t="n"/>
    </row>
    <row r="38">
      <c r="A38" s="236" t="inlineStr">
        <is>
          <t>References</t>
        </is>
      </c>
      <c r="B38" s="227" t="n"/>
      <c r="C38" s="227" t="n"/>
      <c r="D38" s="227" t="n"/>
      <c r="E38" s="227" t="n"/>
      <c r="F38" s="227" t="n"/>
      <c r="G38" s="227" t="n"/>
    </row>
    <row r="39">
      <c r="A39" s="75" t="inlineStr">
        <is>
          <t>STM32G474 datasheet / alternate functions</t>
        </is>
      </c>
      <c r="B39" s="75" t="inlineStr">
        <is>
          <t>https://www.st.com/resource/en/datasheet/stm32g474pb.pdf</t>
        </is>
      </c>
      <c r="F39" s="75" t="n"/>
    </row>
    <row r="40">
      <c r="A40" s="75" t="inlineStr">
        <is>
          <t>Infineon BTS7960 datasheet / PWM capability</t>
        </is>
      </c>
      <c r="B40" s="75" t="inlineStr">
        <is>
          <t>https://www.infineon.com/dgdl/BTS7960_Datasheet.pdf?fileId=db3a304412b407950112b43945006d5d&amp;folderId=db3a304412b407950112b408e8c90004</t>
        </is>
      </c>
      <c r="F40" s="75" t="n"/>
    </row>
    <row r="41">
      <c r="F41" s="75" t="n"/>
    </row>
    <row r="42">
      <c r="A42" s="75" t="inlineStr">
        <is>
          <t>TIM2 - Steering Motor PWM (Completed)</t>
        </is>
      </c>
      <c r="B42" s="75" t="n"/>
      <c r="C42" s="75" t="n"/>
      <c r="D42" s="75" t="n"/>
      <c r="E42" s="75" t="n"/>
      <c r="F42" s="75" t="n"/>
      <c r="G42" s="75" t="n"/>
    </row>
    <row r="43">
      <c r="A43" s="75" t="inlineStr">
        <is>
          <t>Parameter</t>
        </is>
      </c>
      <c r="B43" s="75" t="inlineStr">
        <is>
          <t>CubeMX Setting / Value</t>
        </is>
      </c>
      <c r="C43" s="75" t="inlineStr">
        <is>
          <t>Numeric Value</t>
        </is>
      </c>
      <c r="D43" s="75" t="inlineStr">
        <is>
          <t>Units</t>
        </is>
      </c>
      <c r="E43" s="75" t="inlineStr">
        <is>
          <t>Status</t>
        </is>
      </c>
      <c r="F43" s="75" t="inlineStr">
        <is>
          <t>Logic / Rationale</t>
        </is>
      </c>
      <c r="G43" s="75" t="inlineStr">
        <is>
          <t>Source</t>
        </is>
      </c>
    </row>
    <row r="44">
      <c r="A44" s="75" t="inlineStr">
        <is>
          <t>Timer input clock</t>
        </is>
      </c>
      <c r="B44" s="75" t="inlineStr">
        <is>
          <t>100 MHz</t>
        </is>
      </c>
      <c r="C44" s="75" t="n">
        <v>100</v>
      </c>
      <c r="D44" s="75" t="inlineStr">
        <is>
          <t>MHz</t>
        </is>
      </c>
      <c r="E44" s="75" t="inlineStr">
        <is>
          <t>Confirmed</t>
        </is>
      </c>
      <c r="F44" s="75" t="inlineStr">
        <is>
          <t>TIM2 is on APB1. With APB1 prescaler = /1, its timer clock is 100 MHz. Matching TIM1 makes the steering PWM use the same carrier frequency as accelerator/brake.</t>
        </is>
      </c>
      <c r="G44" s="75" t="inlineStr">
        <is>
          <t>STM32CubeMX clock tree</t>
        </is>
      </c>
    </row>
    <row r="45">
      <c r="A45" s="75" t="inlineStr">
        <is>
          <t>Clock Source</t>
        </is>
      </c>
      <c r="B45" s="75" t="inlineStr">
        <is>
          <t>Internal Clock</t>
        </is>
      </c>
      <c r="C45" s="75" t="n"/>
      <c r="D45" s="75" t="n"/>
      <c r="E45" s="75" t="inlineStr">
        <is>
          <t>Confirmed</t>
        </is>
      </c>
      <c r="F45" s="75" t="inlineStr">
        <is>
          <t>The STM32 should generate the PWM from its own peripheral clock; no external timing signal is needed. This keeps motor timing deterministic and self-contained.</t>
        </is>
      </c>
      <c r="G45" s="75" t="n"/>
    </row>
    <row r="46">
      <c r="A46" s="75" t="inlineStr">
        <is>
          <t>Prescaler (PSC)</t>
        </is>
      </c>
      <c r="B46" s="75" t="inlineStr">
        <is>
          <t>0</t>
        </is>
      </c>
      <c r="C46" s="75" t="n">
        <v>0</v>
      </c>
      <c r="D46" s="75" t="inlineStr">
        <is>
          <t>counts</t>
        </is>
      </c>
      <c r="E46" s="75" t="inlineStr">
        <is>
          <t>Confirmed</t>
        </is>
      </c>
      <c r="F46" s="75" t="inlineStr">
        <is>
          <t>PSC divides by PSC+1. PSC=0 keeps the counter at 100 MHz, maximizing duty-cycle resolution while still allowing a simple integer ARR for 20 kHz.</t>
        </is>
      </c>
      <c r="G46" s="75" t="n"/>
    </row>
    <row r="47">
      <c r="A47" s="75" t="inlineStr">
        <is>
          <t>Counter Mode</t>
        </is>
      </c>
      <c r="B47" s="75" t="inlineStr">
        <is>
          <t>Up</t>
        </is>
      </c>
      <c r="C47" s="75" t="n"/>
      <c r="D47" s="75" t="n"/>
      <c r="E47" s="75" t="inlineStr">
        <is>
          <t>Confirmed</t>
        </is>
      </c>
      <c r="F47" s="75" t="inlineStr">
        <is>
          <t>Up-counting creates ordinary edge-aligned PWM. The external motor driver does not require center-aligned PWM, so the simpler mode is preferred.</t>
        </is>
      </c>
      <c r="G47" s="75" t="n"/>
    </row>
    <row r="48">
      <c r="A48" s="75" t="inlineStr">
        <is>
          <t>Counter Period (ARR)</t>
        </is>
      </c>
      <c r="B48" s="75" t="inlineStr">
        <is>
          <t>4999</t>
        </is>
      </c>
      <c r="C48" s="75" t="n">
        <v>4999</v>
      </c>
      <c r="D48" s="75" t="inlineStr">
        <is>
          <t>counts</t>
        </is>
      </c>
      <c r="E48" s="75" t="inlineStr">
        <is>
          <t>Confirmed</t>
        </is>
      </c>
      <c r="F48" s="75" t="inlineStr">
        <is>
          <t>At 100 MHz with PSC=0, ARR+1=5000 counts, so fPWM = 100 MHz / 5000 = 20 kHz.</t>
        </is>
      </c>
      <c r="G48" s="75" t="n"/>
    </row>
    <row r="49">
      <c r="A49" s="75" t="inlineStr">
        <is>
          <t>Calculated PWM Frequency</t>
        </is>
      </c>
      <c r="B49" s="75" t="inlineStr">
        <is>
          <t>20 kHz</t>
        </is>
      </c>
      <c r="C49" s="75" t="n">
        <v>20000</v>
      </c>
      <c r="D49" s="75" t="inlineStr">
        <is>
          <t>Hz</t>
        </is>
      </c>
      <c r="E49" s="75" t="inlineStr">
        <is>
          <t>Confirmed</t>
        </is>
      </c>
      <c r="F49" s="75" t="inlineStr">
        <is>
          <t>Use the same 20 kHz carrier as TIM1 so all three motor-driver pairs behave consistently. Duty cycles remain independent by channel.</t>
        </is>
      </c>
      <c r="G49" s="75" t="n"/>
    </row>
    <row r="50">
      <c r="A50" s="75" t="inlineStr">
        <is>
          <t>Internal Clock Division (CKD)</t>
        </is>
      </c>
      <c r="B50" s="75" t="inlineStr">
        <is>
          <t>No Division (DIV1)</t>
        </is>
      </c>
      <c r="C50" s="75" t="n">
        <v>1</v>
      </c>
      <c r="D50" s="75" t="n"/>
      <c r="E50" s="75" t="inlineStr">
        <is>
          <t>Confirmed</t>
        </is>
      </c>
      <c r="F50" s="75" t="inlineStr">
        <is>
          <t>CKD is not the PWM prescaler. We are not using dead-time/filter sampling features that need a divided timer clock, so leave it at No Division.</t>
        </is>
      </c>
      <c r="G50" s="75" t="n"/>
    </row>
    <row r="51">
      <c r="A51" s="75" t="inlineStr">
        <is>
          <t>Auto-Reload Preload</t>
        </is>
      </c>
      <c r="B51" s="75" t="inlineStr">
        <is>
          <t>Enable</t>
        </is>
      </c>
      <c r="C51" s="75" t="n"/>
      <c r="D51" s="75" t="n"/>
      <c r="E51" s="75" t="inlineStr">
        <is>
          <t>Confirmed</t>
        </is>
      </c>
      <c r="F51" s="75" t="inlineStr">
        <is>
          <t>If ARR is ever changed, preload delays the new period until an update event, preventing a partial/glitched PWM period.</t>
        </is>
      </c>
      <c r="G51" s="75" t="n"/>
    </row>
    <row r="52">
      <c r="A52" s="75" t="inlineStr">
        <is>
          <t>Dithering</t>
        </is>
      </c>
      <c r="B52" s="75" t="inlineStr">
        <is>
          <t>Disable</t>
        </is>
      </c>
      <c r="C52" s="75" t="n"/>
      <c r="D52" s="75" t="n"/>
      <c r="E52" s="75" t="inlineStr">
        <is>
          <t>Confirmed</t>
        </is>
      </c>
      <c r="F52" s="75" t="inlineStr">
        <is>
          <t>20 kHz at 100 MHz already provides 5000 timer counts per period. Fractional/dithered resolution is unnecessary and would complicate behavior.</t>
        </is>
      </c>
      <c r="G52" s="75" t="n"/>
    </row>
    <row r="53">
      <c r="A53" s="75" t="inlineStr">
        <is>
          <t>TIM2 Interrupt</t>
        </is>
      </c>
      <c r="B53" s="75" t="inlineStr">
        <is>
          <t>Disabled</t>
        </is>
      </c>
      <c r="C53" s="75" t="n"/>
      <c r="D53" s="75" t="n"/>
      <c r="E53" s="75" t="inlineStr">
        <is>
          <t>Confirmed</t>
        </is>
      </c>
      <c r="F53" s="75" t="inlineStr">
        <is>
          <t>PWM continues in timer hardware without CPU interrupts. Interrupts are unnecessary unless we later need timer update events for some other control task.</t>
        </is>
      </c>
      <c r="G53" s="75" t="n"/>
    </row>
    <row r="54">
      <c r="A54" s="75" t="inlineStr">
        <is>
          <t>Master/Slave / Trigger</t>
        </is>
      </c>
      <c r="B54" s="75" t="inlineStr">
        <is>
          <t>Leave default / disabled</t>
        </is>
      </c>
      <c r="C54" s="75" t="n"/>
      <c r="D54" s="75" t="n"/>
      <c r="E54" s="75" t="inlineStr">
        <is>
          <t>Confirmed</t>
        </is>
      </c>
      <c r="F54" s="75" t="inlineStr">
        <is>
          <t>TIM2 does not need phase-locking to TIM1 for this application. The motor drivers care about duty/frequency, not exact edge alignment between different motors.</t>
        </is>
      </c>
      <c r="G54" s="75" t="n"/>
    </row>
    <row r="55">
      <c r="A55" s="75" t="n"/>
      <c r="B55" s="75" t="n"/>
      <c r="C55" s="75" t="n"/>
      <c r="D55" s="75" t="n"/>
      <c r="E55" s="75" t="n"/>
      <c r="F55" s="75" t="n"/>
      <c r="G55" s="75" t="n"/>
    </row>
    <row r="56">
      <c r="A56" s="75" t="inlineStr">
        <is>
          <t>TIM2 Channel Output Configuration</t>
        </is>
      </c>
      <c r="B56" s="75" t="n"/>
      <c r="C56" s="75" t="n"/>
      <c r="D56" s="75" t="n"/>
      <c r="E56" s="75" t="n"/>
      <c r="F56" s="75" t="n"/>
      <c r="G56" s="75" t="n"/>
    </row>
    <row r="57">
      <c r="A57" s="75" t="inlineStr">
        <is>
          <t>MCU Pin / Channel</t>
        </is>
      </c>
      <c r="B57" s="75" t="inlineStr">
        <is>
          <t>Project Signal</t>
        </is>
      </c>
      <c r="C57" s="75" t="inlineStr">
        <is>
          <t>Mode</t>
        </is>
      </c>
      <c r="D57" s="75" t="inlineStr">
        <is>
          <t>Initial Pulse (CCR)</t>
        </is>
      </c>
      <c r="E57" s="75" t="inlineStr">
        <is>
          <t>Polarity</t>
        </is>
      </c>
      <c r="F57" s="75" t="inlineStr">
        <is>
          <t>Why / Firmware Rule</t>
        </is>
      </c>
      <c r="G57" s="75" t="inlineStr">
        <is>
          <t>Status</t>
        </is>
      </c>
    </row>
    <row r="58">
      <c r="A58" s="75" t="inlineStr">
        <is>
          <t>PA0 / TIM2_CH1</t>
        </is>
      </c>
      <c r="B58" s="75" t="inlineStr">
        <is>
          <t>Steering Motor PWM1</t>
        </is>
      </c>
      <c r="C58" s="75" t="inlineStr">
        <is>
          <t>PWM Generation CH1 / PWM Mode 1</t>
        </is>
      </c>
      <c r="D58" s="75" t="n">
        <v>0</v>
      </c>
      <c r="E58" s="75" t="inlineStr">
        <is>
          <t>High</t>
        </is>
      </c>
      <c r="F58" s="75" t="inlineStr">
        <is>
          <t>First steering direction input. Start at 0% duty so reset/boot cannot command motion.</t>
        </is>
      </c>
      <c r="G58" s="75" t="inlineStr">
        <is>
          <t>Confirmed</t>
        </is>
      </c>
    </row>
    <row r="59">
      <c r="A59" s="75" t="inlineStr">
        <is>
          <t>PA1 / TIM2_CH2</t>
        </is>
      </c>
      <c r="B59" s="75" t="inlineStr">
        <is>
          <t>Steering Motor PWM2</t>
        </is>
      </c>
      <c r="C59" s="75" t="inlineStr">
        <is>
          <t>PWM Generation CH2 / PWM Mode 1</t>
        </is>
      </c>
      <c r="D59" s="75" t="n">
        <v>0</v>
      </c>
      <c r="E59" s="75" t="inlineStr">
        <is>
          <t>High</t>
        </is>
      </c>
      <c r="F59" s="75" t="inlineStr">
        <is>
          <t>Opposite steering direction input. Firmware normally drives one direction PWM while holding the other at 0.</t>
        </is>
      </c>
      <c r="G59" s="75" t="inlineStr">
        <is>
          <t>Confirmed</t>
        </is>
      </c>
    </row>
    <row r="60">
      <c r="A60" s="75" t="n"/>
      <c r="B60" s="75" t="n"/>
      <c r="C60" s="75" t="n"/>
      <c r="D60" s="75" t="n"/>
      <c r="E60" s="75" t="n"/>
      <c r="F60" s="75" t="n"/>
      <c r="G60" s="75" t="n"/>
    </row>
    <row r="61">
      <c r="A61" s="75" t="inlineStr">
        <is>
          <t>Shared channel settings</t>
        </is>
      </c>
      <c r="B61" s="75" t="inlineStr">
        <is>
          <t>PWM Mode 1; Pulse=0; Polarity=High; Fast Mode=Disable</t>
        </is>
      </c>
      <c r="C61" s="75" t="n"/>
      <c r="D61" s="75" t="n"/>
      <c r="E61" s="75" t="inlineStr">
        <is>
          <t>Confirmed</t>
        </is>
      </c>
      <c r="F61" s="75" t="inlineStr">
        <is>
          <t>These match TIM1 so motor PWM behavior is consistent across all three actuators. Each channel still has its own CCR and therefore independent commanded duty cycle.</t>
        </is>
      </c>
      <c r="G61" s="75" t="n"/>
    </row>
    <row r="62">
      <c r="F62" s="75" t="n"/>
    </row>
    <row r="63">
      <c r="A63" t="inlineStr">
        <is>
          <t>TIM3 - Servo PWM 1-4 (Confirmed)</t>
        </is>
      </c>
      <c r="F63" s="75" t="n"/>
    </row>
    <row r="64">
      <c r="A64" t="inlineStr">
        <is>
          <t>Parameter</t>
        </is>
      </c>
      <c r="B64" t="inlineStr">
        <is>
          <t>CubeMX Setting / Value</t>
        </is>
      </c>
      <c r="C64" t="inlineStr">
        <is>
          <t>Numeric Value</t>
        </is>
      </c>
      <c r="D64" t="inlineStr">
        <is>
          <t>Units</t>
        </is>
      </c>
      <c r="E64" t="inlineStr">
        <is>
          <t>Status</t>
        </is>
      </c>
      <c r="F64" s="75" t="inlineStr">
        <is>
          <t>Logic / Rationale</t>
        </is>
      </c>
      <c r="G64" t="inlineStr">
        <is>
          <t>Source</t>
        </is>
      </c>
    </row>
    <row r="65">
      <c r="A65" t="inlineStr">
        <is>
          <t>Timer input clock</t>
        </is>
      </c>
      <c r="B65" t="inlineStr">
        <is>
          <t>100 MHz</t>
        </is>
      </c>
      <c r="C65" t="n">
        <v>100</v>
      </c>
      <c r="D65" t="inlineStr">
        <is>
          <t>MHz</t>
        </is>
      </c>
      <c r="E65" t="inlineStr">
        <is>
          <t>Confirmed</t>
        </is>
      </c>
      <c r="F65" s="75" t="inlineStr">
        <is>
          <t>TIM3 is on APB1. With APB1 prescaler = /1, its timer clock is 100 MHz. We deliberately divide this down to a 1 MHz counter so one timer count equals 1 microsecond, which makes servo pulse widths intuitive to set.</t>
        </is>
      </c>
      <c r="G65" t="inlineStr">
        <is>
          <t>STM32CubeMX clock tree</t>
        </is>
      </c>
    </row>
    <row r="66">
      <c r="A66" t="inlineStr">
        <is>
          <t>Clock Source</t>
        </is>
      </c>
      <c r="B66" t="inlineStr">
        <is>
          <t>Internal Clock</t>
        </is>
      </c>
      <c r="E66" t="inlineStr">
        <is>
          <t>Confirmed</t>
        </is>
      </c>
      <c r="F66" s="75" t="inlineStr">
        <is>
          <t>The STM32 should generate the servo timing internally. No external timing input is needed, and using the internal timer clock keeps the 50 Hz frame deterministic.</t>
        </is>
      </c>
    </row>
    <row r="67">
      <c r="A67" t="inlineStr">
        <is>
          <t>Prescaler (PSC)</t>
        </is>
      </c>
      <c r="B67" t="inlineStr">
        <is>
          <t>99</t>
        </is>
      </c>
      <c r="C67" t="n">
        <v>99</v>
      </c>
      <c r="D67" t="inlineStr">
        <is>
          <t>counts</t>
        </is>
      </c>
      <c r="E67" t="inlineStr">
        <is>
          <t>Confirmed</t>
        </is>
      </c>
      <c r="F67" s="75" t="inlineStr">
        <is>
          <t>PSC divides by PSC+1. 100 MHz / (99+1) = 1 MHz, so the timer advances once per microsecond. This is much easier to use for servo pulse widths than counting 10 ns ticks.</t>
        </is>
      </c>
    </row>
    <row r="68">
      <c r="A68" t="inlineStr">
        <is>
          <t>Counter Mode</t>
        </is>
      </c>
      <c r="B68" t="inlineStr">
        <is>
          <t>Up</t>
        </is>
      </c>
      <c r="E68" t="inlineStr">
        <is>
          <t>Confirmed</t>
        </is>
      </c>
      <c r="F68" s="75" t="inlineStr">
        <is>
          <t>Standard edge-aligned PWM is appropriate for servo command pulses. Center-aligned counting provides no benefit for this protocol.</t>
        </is>
      </c>
    </row>
    <row r="69">
      <c r="A69" t="inlineStr">
        <is>
          <t>Counter Period (ARR)</t>
        </is>
      </c>
      <c r="B69" t="inlineStr">
        <is>
          <t>19999</t>
        </is>
      </c>
      <c r="C69" t="n">
        <v>19999</v>
      </c>
      <c r="D69" t="inlineStr">
        <is>
          <t>counts</t>
        </is>
      </c>
      <c r="E69" t="inlineStr">
        <is>
          <t>Confirmed</t>
        </is>
      </c>
      <c r="F69" s="75" t="inlineStr">
        <is>
          <t>At a 1 MHz counter rate, ARR+1 = 20,000 counts = 20 ms. A 20 ms period corresponds to 50 Hz, the conventional baseline servo frame rate.</t>
        </is>
      </c>
    </row>
    <row r="70">
      <c r="A70" t="inlineStr">
        <is>
          <t>Calculated PWM Frequency</t>
        </is>
      </c>
      <c r="B70" t="inlineStr">
        <is>
          <t>50 Hz (verified compatible: DS3235 supports 50-330 Hz)</t>
        </is>
      </c>
      <c r="C70" t="n">
        <v>50</v>
      </c>
      <c r="D70" t="inlineStr">
        <is>
          <t>Hz</t>
        </is>
      </c>
      <c r="E70" t="inlineStr">
        <is>
          <t>Target</t>
        </is>
      </c>
      <c r="F70" s="75" t="inlineStr">
        <is>
          <t>50 Hz is explicitly within the DS3235 operating-frequency range of 50-330 Hz. It gives a 20 ms frame, comfortably containing the verified 500-2500 us control pulse. Use 50 Hz for initial bring-up; higher refresh rates can be tested later if response latency warrants it.</t>
        </is>
      </c>
    </row>
    <row r="71">
      <c r="A71" t="inlineStr">
        <is>
          <t>Internal Clock Division (CKD)</t>
        </is>
      </c>
      <c r="B71" t="inlineStr">
        <is>
          <t>No Division (DIV1)</t>
        </is>
      </c>
      <c r="C71" t="n">
        <v>1</v>
      </c>
      <c r="E71" t="inlineStr">
        <is>
          <t>Confirmed</t>
        </is>
      </c>
      <c r="F71" s="75" t="inlineStr">
        <is>
          <t>CKD is unrelated to the PSC used to create the 1 us timer tick. We are not using timer filtering/dead-time features that need CKD division, so leave No Division.</t>
        </is>
      </c>
    </row>
    <row r="72">
      <c r="A72" t="inlineStr">
        <is>
          <t>Auto-Reload Preload</t>
        </is>
      </c>
      <c r="B72" t="inlineStr">
        <is>
          <t>Enable</t>
        </is>
      </c>
      <c r="E72" t="inlineStr">
        <is>
          <t>Confirmed</t>
        </is>
      </c>
      <c r="F72" s="75" t="inlineStr">
        <is>
          <t>If the frame period is ever changed, preload applies the new ARR cleanly at an update event instead of partway through a frame.</t>
        </is>
      </c>
    </row>
    <row r="73">
      <c r="A73" t="inlineStr">
        <is>
          <t>Dithering</t>
        </is>
      </c>
      <c r="B73" t="inlineStr">
        <is>
          <t>Disable</t>
        </is>
      </c>
      <c r="E73" t="inlineStr">
        <is>
          <t>Confirmed</t>
        </is>
      </c>
      <c r="F73" s="75" t="inlineStr">
        <is>
          <t>A 1 us pulse-width resolution is already finer than needed for normal servo commands. Fractional timer counts are unnecessary.</t>
        </is>
      </c>
    </row>
    <row r="74">
      <c r="A74" t="inlineStr">
        <is>
          <t>TIM3 Interrupt</t>
        </is>
      </c>
      <c r="B74" t="inlineStr">
        <is>
          <t>Disabled</t>
        </is>
      </c>
      <c r="E74" t="inlineStr">
        <is>
          <t>Recommended</t>
        </is>
      </c>
      <c r="F74" s="75" t="inlineStr">
        <is>
          <t>Hardware PWM runs continuously without CPU interrupts. Firmware only needs to update each channel compare value when a commanded servo position changes.</t>
        </is>
      </c>
    </row>
    <row r="75">
      <c r="A75" t="inlineStr">
        <is>
          <t>Master/Slave / Trigger</t>
        </is>
      </c>
      <c r="B75" t="inlineStr">
        <is>
          <t>Leave default / disabled</t>
        </is>
      </c>
      <c r="E75" t="inlineStr">
        <is>
          <t>Recommended</t>
        </is>
      </c>
      <c r="F75" s="75" t="inlineStr">
        <is>
          <t>The four servo channels already share TIM3 and are inherently on the same 20 ms frame. No external synchronization or master/slave timer relationship is required.</t>
        </is>
      </c>
    </row>
    <row r="76">
      <c r="F76" s="75" t="n"/>
    </row>
    <row r="77">
      <c r="A77" t="inlineStr">
        <is>
          <t>TIM3 Channel Output Configuration</t>
        </is>
      </c>
      <c r="F77" s="75" t="n"/>
    </row>
    <row r="78">
      <c r="A78" t="inlineStr">
        <is>
          <t>MCU Pin / Channel</t>
        </is>
      </c>
      <c r="B78" t="inlineStr">
        <is>
          <t>Project Signal</t>
        </is>
      </c>
      <c r="C78" t="inlineStr">
        <is>
          <t>Mode</t>
        </is>
      </c>
      <c r="D78" t="inlineStr">
        <is>
          <t>Initial Pulse (CCR)</t>
        </is>
      </c>
      <c r="E78" t="inlineStr">
        <is>
          <t>Polarity</t>
        </is>
      </c>
      <c r="F78" s="75" t="inlineStr">
        <is>
          <t>Why / Firmware Rule</t>
        </is>
      </c>
      <c r="G78" t="inlineStr">
        <is>
          <t>Status</t>
        </is>
      </c>
    </row>
    <row r="79">
      <c r="A79" t="inlineStr">
        <is>
          <t>PA6 / TIM3_CH1</t>
        </is>
      </c>
      <c r="B79" t="inlineStr">
        <is>
          <t>Servo 1 PWM</t>
        </is>
      </c>
      <c r="C79" t="inlineStr">
        <is>
          <t>PWM Generation CH1 / PWM Mode 1</t>
        </is>
      </c>
      <c r="D79" t="n">
        <v>0</v>
      </c>
      <c r="E79" t="inlineStr">
        <is>
          <t>High</t>
        </is>
      </c>
      <c r="F79" s="75" t="inlineStr">
        <is>
          <t>Servo 1 command signal. One PWM line controls one servo; start CCR at 0 so no valid position pulse is sent during initialization.</t>
        </is>
      </c>
      <c r="G79" t="inlineStr">
        <is>
          <t>Confirmed</t>
        </is>
      </c>
    </row>
    <row r="80">
      <c r="A80" t="inlineStr">
        <is>
          <t>PA7 / TIM3_CH2</t>
        </is>
      </c>
      <c r="B80" t="inlineStr">
        <is>
          <t>Servo 2 PWM</t>
        </is>
      </c>
      <c r="C80" t="inlineStr">
        <is>
          <t>PWM Generation CH2 / PWM Mode 1</t>
        </is>
      </c>
      <c r="D80" t="n">
        <v>0</v>
      </c>
      <c r="E80" t="inlineStr">
        <is>
          <t>High</t>
        </is>
      </c>
      <c r="F80" s="75" t="inlineStr">
        <is>
          <t>Servo 2 command signal on the second PWM line of the first 6-pin two-servo header. Its CCR is independent from Servo 1.</t>
        </is>
      </c>
      <c r="G80" t="inlineStr">
        <is>
          <t>Confirmed</t>
        </is>
      </c>
    </row>
    <row r="81">
      <c r="A81" t="inlineStr">
        <is>
          <t>PB0 / TIM3_CH3</t>
        </is>
      </c>
      <c r="B81" t="inlineStr">
        <is>
          <t>Servo 3 PWM</t>
        </is>
      </c>
      <c r="C81" t="inlineStr">
        <is>
          <t>PWM Generation CH3 / PWM Mode 1</t>
        </is>
      </c>
      <c r="D81" t="n">
        <v>0</v>
      </c>
      <c r="E81" t="inlineStr">
        <is>
          <t>High</t>
        </is>
      </c>
      <c r="F81" s="75" t="inlineStr">
        <is>
          <t>Servo 3 command signal. Sharing TIM3 only shares the 50 Hz frame; the pulse width remains independently commanded.</t>
        </is>
      </c>
      <c r="G81" t="inlineStr">
        <is>
          <t>Confirmed</t>
        </is>
      </c>
    </row>
    <row r="82">
      <c r="A82" t="inlineStr">
        <is>
          <t>PB1 / TIM3_CH4</t>
        </is>
      </c>
      <c r="B82" t="inlineStr">
        <is>
          <t>Servo 4 PWM</t>
        </is>
      </c>
      <c r="C82" t="inlineStr">
        <is>
          <t>PWM Generation CH4 / PWM Mode 1</t>
        </is>
      </c>
      <c r="D82" t="n">
        <v>0</v>
      </c>
      <c r="E82" t="inlineStr">
        <is>
          <t>High</t>
        </is>
      </c>
      <c r="F82" s="75" t="inlineStr">
        <is>
          <t>Servo 4 command signal and final TIM3 channel. Start at 0, then apply a calibrated safe pulse after initialization.</t>
        </is>
      </c>
      <c r="G82" t="inlineStr">
        <is>
          <t>Confirmed</t>
        </is>
      </c>
    </row>
    <row r="83">
      <c r="F83" s="75" t="n"/>
    </row>
    <row r="84">
      <c r="A84" t="inlineStr">
        <is>
          <t>Shared channel settings</t>
        </is>
      </c>
      <c r="B84" t="inlineStr">
        <is>
          <t>PWM Mode 1; Initial Pulse=0; Polarity=High; Fast Mode=Disable</t>
        </is>
      </c>
      <c r="E84" t="inlineStr">
        <is>
          <t>Configure now</t>
        </is>
      </c>
      <c r="F84" s="75" t="inlineStr">
        <is>
          <t>At a 1 MHz timer tick, CCR equals pulse width in microseconds. For the DS3235, use 500-2500 us as the verified command range and 1500 us as neutral. CCR=0 at boot intentionally sends no valid command until firmware applies a safe position.</t>
        </is>
      </c>
    </row>
    <row r="86">
      <c r="A86" s="75" t="inlineStr">
        <is>
          <t>TIM5 - Servo PWM 5-6 (Confirmed)</t>
        </is>
      </c>
      <c r="B86" s="75" t="n"/>
      <c r="C86" s="75" t="n"/>
      <c r="D86" s="75" t="n"/>
      <c r="E86" s="75" t="n"/>
      <c r="F86" s="75" t="n"/>
      <c r="G86" s="75" t="n"/>
    </row>
    <row r="87">
      <c r="A87" s="75" t="inlineStr">
        <is>
          <t>Parameter</t>
        </is>
      </c>
      <c r="B87" s="75" t="inlineStr">
        <is>
          <t>CubeMX Setting / Value</t>
        </is>
      </c>
      <c r="C87" s="75" t="inlineStr">
        <is>
          <t>Numeric Value</t>
        </is>
      </c>
      <c r="D87" s="75" t="inlineStr">
        <is>
          <t>Units</t>
        </is>
      </c>
      <c r="E87" s="75" t="inlineStr">
        <is>
          <t>Status</t>
        </is>
      </c>
      <c r="F87" s="75" t="inlineStr">
        <is>
          <t>Logic / Rationale</t>
        </is>
      </c>
      <c r="G87" s="75" t="inlineStr">
        <is>
          <t>Source</t>
        </is>
      </c>
    </row>
    <row r="88">
      <c r="A88" s="75" t="inlineStr">
        <is>
          <t>Timer input clock</t>
        </is>
      </c>
      <c r="B88" s="75" t="inlineStr">
        <is>
          <t>100 MHz</t>
        </is>
      </c>
      <c r="C88" s="75" t="n">
        <v>100</v>
      </c>
      <c r="D88" s="75" t="inlineStr">
        <is>
          <t>MHz</t>
        </is>
      </c>
      <c r="E88" s="75" t="inlineStr">
        <is>
          <t>Confirmed</t>
        </is>
      </c>
      <c r="F88" s="75" t="inlineStr">
        <is>
          <t>TIM5 is on APB1. With the current APB1 prescaler /1, its timer clock is 100 MHz. Using the same 100 MHz basis as TIM3 lets us reuse the same 1 us counter scale and 50 Hz frame.</t>
        </is>
      </c>
      <c r="G88" s="75" t="inlineStr">
        <is>
          <t>STM32CubeMX clock tree</t>
        </is>
      </c>
    </row>
    <row r="89">
      <c r="A89" s="75" t="inlineStr">
        <is>
          <t>Clock Source</t>
        </is>
      </c>
      <c r="B89" s="75" t="inlineStr">
        <is>
          <t>Internal Clock</t>
        </is>
      </c>
      <c r="C89" s="75" t="n"/>
      <c r="D89" s="75" t="n"/>
      <c r="E89" s="75" t="inlineStr">
        <is>
          <t>Confirmed</t>
        </is>
      </c>
      <c r="F89" s="75" t="inlineStr">
        <is>
          <t>The STM32 should generate the servo timing from its own peripheral clock. No external clock or trigger is needed for ordinary servo PWM.</t>
        </is>
      </c>
      <c r="G89" s="75" t="n"/>
    </row>
    <row r="90">
      <c r="A90" s="75" t="inlineStr">
        <is>
          <t>Prescaler (PSC)</t>
        </is>
      </c>
      <c r="B90" s="75" t="inlineStr">
        <is>
          <t>99</t>
        </is>
      </c>
      <c r="C90" s="75" t="n">
        <v>99</v>
      </c>
      <c r="D90" s="75" t="inlineStr">
        <is>
          <t>counts</t>
        </is>
      </c>
      <c r="E90" s="75" t="inlineStr">
        <is>
          <t>Confirmed</t>
        </is>
      </c>
      <c r="F90" s="75" t="inlineStr">
        <is>
          <t>The prescaler divides by PSC+1: 100 MHz / 100 = 1 MHz. One TIM5 count therefore equals exactly 1 microsecond, so CCR values directly equal commanded pulse width in microseconds.</t>
        </is>
      </c>
      <c r="G90" s="75" t="n"/>
    </row>
    <row r="91">
      <c r="A91" s="75" t="inlineStr">
        <is>
          <t>Counter Mode</t>
        </is>
      </c>
      <c r="B91" s="75" t="inlineStr">
        <is>
          <t>Up</t>
        </is>
      </c>
      <c r="C91" s="75" t="n"/>
      <c r="D91" s="75" t="n"/>
      <c r="E91" s="75" t="inlineStr">
        <is>
          <t>Confirmed</t>
        </is>
      </c>
      <c r="F91" s="75" t="inlineStr">
        <is>
          <t>Standard edge-aligned up-counting is the simplest match for RC servo command pulses. Center-aligned counting provides no benefit for this interface.</t>
        </is>
      </c>
      <c r="G91" s="75" t="n"/>
    </row>
    <row r="92">
      <c r="A92" s="75" t="inlineStr">
        <is>
          <t>Counter Period (ARR)</t>
        </is>
      </c>
      <c r="B92" s="75" t="inlineStr">
        <is>
          <t>19999</t>
        </is>
      </c>
      <c r="C92" s="75" t="n">
        <v>19999</v>
      </c>
      <c r="D92" s="75" t="inlineStr">
        <is>
          <t>counts</t>
        </is>
      </c>
      <c r="E92" s="75" t="inlineStr">
        <is>
          <t>Confirmed</t>
        </is>
      </c>
      <c r="F92" s="75" t="inlineStr">
        <is>
          <t>At a 1 MHz counter, ARR+1 = 20,000 counts = 20 ms, giving a 50 Hz servo frame.</t>
        </is>
      </c>
      <c r="G92" s="75" t="n"/>
    </row>
    <row r="93">
      <c r="A93" s="75" t="inlineStr">
        <is>
          <t>Calculated PWM Frequency</t>
        </is>
      </c>
      <c r="B93" s="75" t="inlineStr">
        <is>
          <t>50 Hz</t>
        </is>
      </c>
      <c r="C93" s="75" t="n">
        <v>50</v>
      </c>
      <c r="D93" s="75" t="inlineStr">
        <is>
          <t>Hz</t>
        </is>
      </c>
      <c r="E93" s="75" t="inlineStr">
        <is>
          <t>Confirmed</t>
        </is>
      </c>
      <c r="F93" s="75" t="inlineStr">
        <is>
          <t>The DS3235 supports 50-330 Hz. Starting at 50 Hz is conservative, conventional, and matches TIM3 so all six servo outputs use the same timing convention.</t>
        </is>
      </c>
      <c r="G93" s="75" t="inlineStr">
        <is>
          <t>DS3235 servo specification</t>
        </is>
      </c>
    </row>
    <row r="94">
      <c r="A94" s="75" t="inlineStr">
        <is>
          <t>Internal Clock Division (CKD)</t>
        </is>
      </c>
      <c r="B94" s="75" t="inlineStr">
        <is>
          <t>No Division (DIV1)</t>
        </is>
      </c>
      <c r="C94" s="75" t="n">
        <v>1</v>
      </c>
      <c r="D94" s="75" t="n"/>
      <c r="E94" s="75" t="inlineStr">
        <is>
          <t>Confirmed</t>
        </is>
      </c>
      <c r="F94" s="75" t="inlineStr">
        <is>
          <t>CKD is not the prescaler that creates the 1 us tick. We are not using timer filtering/dead-time functions that need a divided internal clock, so leave No Division.</t>
        </is>
      </c>
      <c r="G94" s="75" t="n"/>
    </row>
    <row r="95">
      <c r="A95" s="75" t="inlineStr">
        <is>
          <t>Dithering</t>
        </is>
      </c>
      <c r="B95" s="75" t="inlineStr">
        <is>
          <t>Disable</t>
        </is>
      </c>
      <c r="C95" s="75" t="n"/>
      <c r="D95" s="75" t="n"/>
      <c r="E95" s="75" t="inlineStr">
        <is>
          <t>Confirmed</t>
        </is>
      </c>
      <c r="F95" s="75" t="inlineStr">
        <is>
          <t>TIM5 supports PWM dithering, but 1 us resolution is already much finer than needed for the servo command. Dithering would add complexity without useful benefit.</t>
        </is>
      </c>
      <c r="G95" s="75" t="inlineStr">
        <is>
          <t>https://www.st.com/resource/en/reference_manual/rm0440-stm32g4-series-advanced-armbased-32bit-mcus-stmicroelectronics.pdf</t>
        </is>
      </c>
    </row>
    <row r="96">
      <c r="A96" s="75" t="inlineStr">
        <is>
          <t>Auto-Reload Preload</t>
        </is>
      </c>
      <c r="B96" s="75" t="inlineStr">
        <is>
          <t>Enable</t>
        </is>
      </c>
      <c r="C96" s="75" t="n"/>
      <c r="D96" s="75" t="n"/>
      <c r="E96" s="75" t="inlineStr">
        <is>
          <t>Confirmed</t>
        </is>
      </c>
      <c r="F96" s="75" t="inlineStr">
        <is>
          <t>If the frame period is ever changed, preload applies the new ARR cleanly on an update event instead of partway through a frame.</t>
        </is>
      </c>
      <c r="G96" s="75" t="n"/>
    </row>
    <row r="97">
      <c r="A97" s="75" t="inlineStr">
        <is>
          <t>TIM5 Interrupt</t>
        </is>
      </c>
      <c r="B97" s="75" t="inlineStr">
        <is>
          <t>Disabled</t>
        </is>
      </c>
      <c r="C97" s="75" t="n"/>
      <c r="D97" s="75" t="n"/>
      <c r="E97" s="75" t="inlineStr">
        <is>
          <t>Confirmed</t>
        </is>
      </c>
      <c r="F97" s="75" t="inlineStr">
        <is>
          <t>Hardware PWM continues without CPU interrupts. Firmware only writes a new CCR when a servo command changes, so a periodic timer interrupt would add unnecessary load.</t>
        </is>
      </c>
      <c r="G97" s="75" t="n"/>
    </row>
    <row r="98">
      <c r="A98" s="75" t="inlineStr">
        <is>
          <t>Master/Slave / Trigger</t>
        </is>
      </c>
      <c r="B98" s="75" t="inlineStr">
        <is>
          <t>Leave default / disabled</t>
        </is>
      </c>
      <c r="C98" s="75" t="n"/>
      <c r="D98" s="75" t="n"/>
      <c r="E98" s="75" t="inlineStr">
        <is>
          <t>Recommended</t>
        </is>
      </c>
      <c r="F98" s="75" t="inlineStr">
        <is>
          <t>TIM5 does not need to be synchronized to TIM3. The servos care about their own pulse widths and refresh rate, not exact phase alignment between timer peripherals.</t>
        </is>
      </c>
      <c r="G98" s="75" t="n"/>
    </row>
    <row r="99">
      <c r="A99" s="75" t="n"/>
      <c r="B99" s="75" t="n"/>
      <c r="C99" s="75" t="n"/>
      <c r="D99" s="75" t="n"/>
      <c r="E99" s="75" t="n"/>
      <c r="F99" s="75" t="n"/>
      <c r="G99" s="75" t="n"/>
    </row>
    <row r="100">
      <c r="A100" s="75" t="inlineStr">
        <is>
          <t>TIM5 Channel Output Configuration</t>
        </is>
      </c>
      <c r="B100" s="75" t="n"/>
      <c r="C100" s="75" t="n"/>
      <c r="D100" s="75" t="n"/>
      <c r="E100" s="75" t="n"/>
      <c r="F100" s="75" t="n"/>
      <c r="G100" s="75" t="n"/>
    </row>
    <row r="101">
      <c r="A101" s="75" t="inlineStr">
        <is>
          <t>MCU Pin / Channel</t>
        </is>
      </c>
      <c r="B101" s="75" t="inlineStr">
        <is>
          <t>Project Signal</t>
        </is>
      </c>
      <c r="C101" s="75" t="inlineStr">
        <is>
          <t>Mode</t>
        </is>
      </c>
      <c r="D101" s="75" t="inlineStr">
        <is>
          <t>Initial Pulse (CCR)</t>
        </is>
      </c>
      <c r="E101" s="75" t="inlineStr">
        <is>
          <t>Polarity</t>
        </is>
      </c>
      <c r="F101" s="75" t="inlineStr">
        <is>
          <t>Why / Firmware Rule</t>
        </is>
      </c>
      <c r="G101" s="75" t="inlineStr">
        <is>
          <t>Status</t>
        </is>
      </c>
    </row>
    <row r="102">
      <c r="A102" s="75" t="inlineStr">
        <is>
          <t>PA2 / TIM5_CH3</t>
        </is>
      </c>
      <c r="B102" s="75" t="inlineStr">
        <is>
          <t>Servo 5 PWM</t>
        </is>
      </c>
      <c r="C102" s="75" t="inlineStr">
        <is>
          <t>PWM Generation CH3 / PWM Mode 1</t>
        </is>
      </c>
      <c r="D102" s="75" t="n">
        <v>0</v>
      </c>
      <c r="E102" s="75" t="inlineStr">
        <is>
          <t>High</t>
        </is>
      </c>
      <c r="F102" s="75" t="inlineStr">
        <is>
          <t>Servo 5 uses one PWM signal on TIM5_CH3; its pulse width is independently controlled by CCR3.</t>
        </is>
      </c>
      <c r="G102" s="75" t="inlineStr">
        <is>
          <t>Confirmed</t>
        </is>
      </c>
    </row>
    <row r="103">
      <c r="A103" s="75" t="inlineStr">
        <is>
          <t>PA3 / TIM5_CH4</t>
        </is>
      </c>
      <c r="B103" s="75" t="inlineStr">
        <is>
          <t>Servo 6 PWM</t>
        </is>
      </c>
      <c r="C103" s="75" t="inlineStr">
        <is>
          <t>PWM Generation CH4 / PWM Mode 1</t>
        </is>
      </c>
      <c r="D103" s="75" t="n">
        <v>0</v>
      </c>
      <c r="E103" s="75" t="inlineStr">
        <is>
          <t>High</t>
        </is>
      </c>
      <c r="F103" s="75" t="inlineStr">
        <is>
          <t>Servo 6 uses one PWM signal on TIM5_CH4; its pulse width is independently controlled by CCR4.</t>
        </is>
      </c>
      <c r="G103" s="75" t="inlineStr">
        <is>
          <t>Confirmed</t>
        </is>
      </c>
    </row>
  </sheetData>
  <mergeCells count="7">
    <mergeCell ref="A35:G36"/>
    <mergeCell ref="A1:G1"/>
    <mergeCell ref="A17:G17"/>
    <mergeCell ref="A3:G3"/>
    <mergeCell ref="A34:G34"/>
    <mergeCell ref="A38:G38"/>
    <mergeCell ref="A25:G25"/>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12" customWidth="1" style="58" min="1" max="1"/>
    <col width="24" customWidth="1" style="58" min="2" max="2"/>
    <col width="20" customWidth="1" style="58" min="3" max="3"/>
    <col width="18" customWidth="1" style="58" min="4" max="4"/>
    <col width="14" customWidth="1" style="58" min="5" max="5"/>
    <col width="16" customWidth="1" style="58" min="6" max="6"/>
    <col width="14" customWidth="1" style="58" min="7" max="7"/>
    <col width="12" customWidth="1" style="58" min="8" max="8"/>
    <col width="40" customWidth="1" style="58" min="9" max="9"/>
    <col width="52" customWidth="1" style="58" min="10" max="10"/>
  </cols>
  <sheetData>
    <row r="1" ht="24" customHeight="1" s="58">
      <c r="A1" s="237" t="inlineStr">
        <is>
          <t>GPIO Output Configuration</t>
        </is>
      </c>
      <c r="B1" s="227" t="n"/>
      <c r="C1" s="227" t="n"/>
      <c r="D1" s="227" t="n"/>
      <c r="E1" s="227" t="n"/>
      <c r="F1" s="227" t="n"/>
      <c r="G1" s="227" t="n"/>
      <c r="H1" s="227" t="n"/>
      <c r="I1" s="227" t="n"/>
      <c r="J1" s="227" t="n"/>
    </row>
    <row r="3" ht="32" customHeight="1" s="58">
      <c r="A3" s="158" t="inlineStr">
        <is>
          <t>MCU Pin</t>
        </is>
      </c>
      <c r="B3" s="158" t="inlineStr">
        <is>
          <t>Project Signal</t>
        </is>
      </c>
      <c r="C3" s="158" t="inlineStr">
        <is>
          <t>Load / Function</t>
        </is>
      </c>
      <c r="D3" s="158" t="inlineStr">
        <is>
          <t>CubeMX Mode</t>
        </is>
      </c>
      <c r="E3" s="158" t="inlineStr">
        <is>
          <t>Initial Level</t>
        </is>
      </c>
      <c r="F3" s="158" t="inlineStr">
        <is>
          <t>Output Type</t>
        </is>
      </c>
      <c r="G3" s="158" t="inlineStr">
        <is>
          <t>Pull</t>
        </is>
      </c>
      <c r="H3" s="158" t="inlineStr">
        <is>
          <t>Speed</t>
        </is>
      </c>
      <c r="I3" s="158" t="inlineStr">
        <is>
          <t>External Hardware</t>
        </is>
      </c>
      <c r="J3" s="158" t="inlineStr">
        <is>
          <t>Logic / Rationale</t>
        </is>
      </c>
    </row>
    <row r="4">
      <c r="A4" s="75" t="inlineStr">
        <is>
          <t>PA4</t>
        </is>
      </c>
      <c r="B4" s="75" t="inlineStr">
        <is>
          <t>Accel Motor EN1</t>
        </is>
      </c>
      <c r="C4" s="75" t="inlineStr">
        <is>
          <t>Accelerator</t>
        </is>
      </c>
      <c r="D4" s="75" t="inlineStr">
        <is>
          <t>GPIO_Output</t>
        </is>
      </c>
      <c r="E4" s="75" t="inlineStr">
        <is>
          <t>LOW</t>
        </is>
      </c>
      <c r="F4" s="75" t="inlineStr">
        <is>
          <t>Push-Pull</t>
        </is>
      </c>
      <c r="G4" s="75" t="inlineStr">
        <is>
          <t>No Pull</t>
        </is>
      </c>
      <c r="H4" s="75" t="inlineStr">
        <is>
          <t>Low</t>
        </is>
      </c>
      <c r="I4" s="75" t="inlineStr">
        <is>
          <t>10 kOhm pull-down to GND</t>
        </is>
      </c>
      <c r="J4" s="75" t="inlineStr">
        <is>
          <t>Active-high enable. LOW disables the driver. Push-pull gives defined HIGH/LOW control; low speed is enough because EN changes slowly. External pull-down holds safe LOW during MCU reset/high-Z.</t>
        </is>
      </c>
    </row>
    <row r="5">
      <c r="A5" s="75" t="inlineStr">
        <is>
          <t>PA5</t>
        </is>
      </c>
      <c r="B5" s="75" t="inlineStr">
        <is>
          <t>Accel Motor EN2</t>
        </is>
      </c>
      <c r="C5" s="75" t="inlineStr">
        <is>
          <t>Accelerator</t>
        </is>
      </c>
      <c r="D5" s="75" t="inlineStr">
        <is>
          <t>GPIO_Output</t>
        </is>
      </c>
      <c r="E5" s="75" t="inlineStr">
        <is>
          <t>LOW</t>
        </is>
      </c>
      <c r="F5" s="75" t="inlineStr">
        <is>
          <t>Push-Pull</t>
        </is>
      </c>
      <c r="G5" s="75" t="inlineStr">
        <is>
          <t>No Pull</t>
        </is>
      </c>
      <c r="H5" s="75" t="inlineStr">
        <is>
          <t>Low</t>
        </is>
      </c>
      <c r="I5" s="75" t="inlineStr">
        <is>
          <t>10 kOhm pull-down to GND</t>
        </is>
      </c>
      <c r="J5" s="75" t="inlineStr">
        <is>
          <t>Keep independently controllable but normally assert/deassert with EN1. Same hardware-safe default.</t>
        </is>
      </c>
    </row>
    <row r="6">
      <c r="A6" s="75" t="inlineStr">
        <is>
          <t>PB12</t>
        </is>
      </c>
      <c r="B6" s="75" t="inlineStr">
        <is>
          <t>Brake Motor EN1</t>
        </is>
      </c>
      <c r="C6" s="75" t="inlineStr">
        <is>
          <t>Brake</t>
        </is>
      </c>
      <c r="D6" s="75" t="inlineStr">
        <is>
          <t>GPIO_Output</t>
        </is>
      </c>
      <c r="E6" s="75" t="inlineStr">
        <is>
          <t>LOW</t>
        </is>
      </c>
      <c r="F6" s="75" t="inlineStr">
        <is>
          <t>Push-Pull</t>
        </is>
      </c>
      <c r="G6" s="75" t="inlineStr">
        <is>
          <t>No Pull</t>
        </is>
      </c>
      <c r="H6" s="75" t="inlineStr">
        <is>
          <t>Low</t>
        </is>
      </c>
      <c r="I6" s="75" t="inlineStr">
        <is>
          <t>10 kOhm pull-down to GND</t>
        </is>
      </c>
      <c r="J6" s="75" t="inlineStr">
        <is>
          <t>Static enable signal needs no timer. LOW prevents brake actuator motion at boot.</t>
        </is>
      </c>
    </row>
    <row r="7">
      <c r="A7" s="75" t="inlineStr">
        <is>
          <t>PB13</t>
        </is>
      </c>
      <c r="B7" s="75" t="inlineStr">
        <is>
          <t>Brake Motor EN2</t>
        </is>
      </c>
      <c r="C7" s="75" t="inlineStr">
        <is>
          <t>Brake</t>
        </is>
      </c>
      <c r="D7" s="75" t="inlineStr">
        <is>
          <t>GPIO_Output</t>
        </is>
      </c>
      <c r="E7" s="75" t="inlineStr">
        <is>
          <t>LOW</t>
        </is>
      </c>
      <c r="F7" s="75" t="inlineStr">
        <is>
          <t>Push-Pull</t>
        </is>
      </c>
      <c r="G7" s="75" t="inlineStr">
        <is>
          <t>No Pull</t>
        </is>
      </c>
      <c r="H7" s="75" t="inlineStr">
        <is>
          <t>Low</t>
        </is>
      </c>
      <c r="I7" s="75" t="inlineStr">
        <is>
          <t>10 kOhm pull-down to GND</t>
        </is>
      </c>
      <c r="J7" s="75" t="inlineStr">
        <is>
          <t>Separate control preserves flexibility; firmware can normally treat both EN pins as one logical enable.</t>
        </is>
      </c>
    </row>
    <row r="8">
      <c r="A8" s="75" t="inlineStr">
        <is>
          <t>PB14</t>
        </is>
      </c>
      <c r="B8" s="75" t="inlineStr">
        <is>
          <t>Steering Motor EN1</t>
        </is>
      </c>
      <c r="C8" s="75" t="inlineStr">
        <is>
          <t>Steering</t>
        </is>
      </c>
      <c r="D8" s="75" t="inlineStr">
        <is>
          <t>GPIO_Output</t>
        </is>
      </c>
      <c r="E8" s="75" t="inlineStr">
        <is>
          <t>LOW</t>
        </is>
      </c>
      <c r="F8" s="75" t="inlineStr">
        <is>
          <t>Push-Pull</t>
        </is>
      </c>
      <c r="G8" s="75" t="inlineStr">
        <is>
          <t>No Pull</t>
        </is>
      </c>
      <c r="H8" s="75" t="inlineStr">
        <is>
          <t>Low</t>
        </is>
      </c>
      <c r="I8" s="75" t="inlineStr">
        <is>
          <t>10 kOhm pull-down to GND</t>
        </is>
      </c>
      <c r="J8" s="75" t="inlineStr">
        <is>
          <t>LOW startup prevents steering actuation until system validation is complete.</t>
        </is>
      </c>
    </row>
    <row r="9">
      <c r="A9" s="75" t="inlineStr">
        <is>
          <t>PB15</t>
        </is>
      </c>
      <c r="B9" s="75" t="inlineStr">
        <is>
          <t>Steering Motor EN2</t>
        </is>
      </c>
      <c r="C9" s="75" t="inlineStr">
        <is>
          <t>Steering</t>
        </is>
      </c>
      <c r="D9" s="75" t="inlineStr">
        <is>
          <t>GPIO_Output</t>
        </is>
      </c>
      <c r="E9" s="75" t="inlineStr">
        <is>
          <t>LOW</t>
        </is>
      </c>
      <c r="F9" s="75" t="inlineStr">
        <is>
          <t>Push-Pull</t>
        </is>
      </c>
      <c r="G9" s="75" t="inlineStr">
        <is>
          <t>No Pull</t>
        </is>
      </c>
      <c r="H9" s="75" t="inlineStr">
        <is>
          <t>Low</t>
        </is>
      </c>
      <c r="I9" s="75" t="inlineStr">
        <is>
          <t>10 kOhm pull-down to GND</t>
        </is>
      </c>
      <c r="J9" s="75" t="inlineStr">
        <is>
          <t>Completes hardware-safe steering enable pair.</t>
        </is>
      </c>
    </row>
    <row r="10">
      <c r="A10" s="75" t="inlineStr">
        <is>
          <t>PA12</t>
        </is>
      </c>
      <c r="B10" s="75" t="inlineStr">
        <is>
          <t>Solenoid Valve Enable</t>
        </is>
      </c>
      <c r="C10" s="75" t="inlineStr">
        <is>
          <t>Solenoid Valve</t>
        </is>
      </c>
      <c r="D10" s="75" t="inlineStr">
        <is>
          <t>GPIO_Output</t>
        </is>
      </c>
      <c r="E10" s="75" t="inlineStr">
        <is>
          <t>LOW</t>
        </is>
      </c>
      <c r="F10" s="75" t="inlineStr">
        <is>
          <t>Push-Pull</t>
        </is>
      </c>
      <c r="G10" s="75" t="inlineStr">
        <is>
          <t>No Pull</t>
        </is>
      </c>
      <c r="H10" s="75" t="inlineStr">
        <is>
          <t>Low</t>
        </is>
      </c>
      <c r="I10" s="75" t="inlineStr">
        <is>
          <t>10 kOhm pull-down recommended; external MOSFET/driver/relay + flyback diode/suppression for coil</t>
        </is>
      </c>
      <c r="J10" s="75" t="inlineStr">
        <is>
          <t>On/off valve control needs only a GPIO. Initial LOW is the safe state. The pull-down keeps the driver input inactive during reset/high-Z. Do not drive the inductive coil directly from PA12; use a properly rated driver and flyback suppression.</t>
        </is>
      </c>
    </row>
    <row r="11">
      <c r="A11" s="75" t="inlineStr">
        <is>
          <t>Hardware safety note</t>
        </is>
      </c>
      <c r="B11" s="75" t="n"/>
      <c r="C11" s="75" t="n"/>
      <c r="D11" s="75" t="n"/>
      <c r="E11" s="75" t="n"/>
      <c r="F11" s="75" t="n"/>
      <c r="G11" s="75" t="n"/>
      <c r="H11" s="75" t="n"/>
      <c r="I11" s="75" t="inlineStr">
        <is>
          <t>Add pull-downs on the PCB, not only in CubeMX.</t>
        </is>
      </c>
      <c r="J11" s="75" t="inlineStr">
        <is>
          <t>STM32G4 GPIOs are generally analog/high-impedance during/just after reset, so CubeMX output-low settings do not protect the interval before firmware initializes GPIO.</t>
        </is>
      </c>
    </row>
    <row r="12">
      <c r="A12" s="75" t="inlineStr">
        <is>
          <t>BTS7960 logic note</t>
        </is>
      </c>
      <c r="B12" s="75" t="n"/>
      <c r="C12" s="75" t="n"/>
      <c r="D12" s="75" t="n"/>
      <c r="E12" s="75" t="n"/>
      <c r="F12" s="75" t="n"/>
      <c r="G12" s="75" t="n"/>
      <c r="H12" s="75" t="n"/>
      <c r="I12" s="75" t="inlineStr">
        <is>
          <t>Verify on the exact external module during bench test.</t>
        </is>
      </c>
      <c r="J12" s="75" t="inlineStr">
        <is>
          <t>The BTS7960 INH input is active-high: HIGH enables the half-bridge and LOW disables both switches. Typical module R_EN/L_EN expose this behavior.</t>
        </is>
      </c>
    </row>
  </sheetData>
  <mergeCells count="1">
    <mergeCell ref="A1:J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2" customWidth="1" style="58" min="1" max="1"/>
    <col width="22" customWidth="1" style="58" min="2" max="2"/>
    <col width="26" customWidth="1" style="58" min="3" max="3"/>
    <col width="44" customWidth="1" style="58" min="4" max="4"/>
    <col width="14" customWidth="1" style="58" min="5" max="5"/>
    <col width="52" customWidth="1" style="58" min="6" max="6"/>
  </cols>
  <sheetData>
    <row r="1" ht="26" customHeight="1" s="58">
      <c r="A1" s="238" t="inlineStr">
        <is>
          <t>DS3235 35 kg Digital Servo - Verified Design Inputs</t>
        </is>
      </c>
      <c r="B1" s="227" t="n"/>
      <c r="C1" s="227" t="n"/>
      <c r="D1" s="227" t="n"/>
      <c r="E1" s="227" t="n"/>
      <c r="F1" s="227" t="n"/>
    </row>
    <row r="3">
      <c r="A3" s="175" t="inlineStr">
        <is>
          <t>Parameter</t>
        </is>
      </c>
      <c r="B3" s="175" t="inlineStr">
        <is>
          <t>Verified Value</t>
        </is>
      </c>
      <c r="C3" s="175" t="inlineStr">
        <is>
          <t>Design Choice</t>
        </is>
      </c>
      <c r="D3" s="175" t="inlineStr">
        <is>
          <t>CubeMX / PCB Impact</t>
        </is>
      </c>
      <c r="E3" s="175" t="inlineStr">
        <is>
          <t>Status</t>
        </is>
      </c>
      <c r="F3" s="175" t="inlineStr">
        <is>
          <t>Source</t>
        </is>
      </c>
    </row>
    <row r="4">
      <c r="A4" s="115" t="inlineStr">
        <is>
          <t>Servo model</t>
        </is>
      </c>
      <c r="B4" s="115" t="inlineStr">
        <is>
          <t>DS3235 35 kg coreless digital servo</t>
        </is>
      </c>
      <c r="C4" s="115" t="inlineStr">
        <is>
          <t>Use as current servo baseline</t>
        </is>
      </c>
      <c r="D4" s="115" t="inlineStr">
        <is>
          <t>Applies to all six planned servo PWM outputs</t>
        </is>
      </c>
      <c r="E4" s="115" t="inlineStr">
        <is>
          <t>Verified</t>
        </is>
      </c>
      <c r="F4" s="115" t="inlineStr">
        <is>
          <t>https://hajim.rochester.edu/me/sites/kelley/me240/DS3235-270_datasheet.pdf</t>
        </is>
      </c>
    </row>
    <row r="5">
      <c r="A5" s="115" t="inlineStr">
        <is>
          <t>Operating voltage</t>
        </is>
      </c>
      <c r="B5" s="115" t="inlineStr">
        <is>
          <t>5.0-7.4 V in user listing</t>
        </is>
      </c>
      <c r="C5" s="115" t="inlineStr">
        <is>
          <t>Power from 5 V rail</t>
        </is>
      </c>
      <c r="D5" s="115" t="inlineStr">
        <is>
          <t>5 V is within rated supply range; expect reduced torque vs higher supply voltage</t>
        </is>
      </c>
      <c r="E5" s="115" t="inlineStr">
        <is>
          <t>Verified</t>
        </is>
      </c>
      <c r="F5" s="115" t="inlineStr">
        <is>
          <t>User-provided product listing</t>
        </is>
      </c>
    </row>
    <row r="6">
      <c r="A6" s="115" t="inlineStr">
        <is>
          <t>PWM input signal level</t>
        </is>
      </c>
      <c r="B6" s="115" t="inlineStr">
        <is>
          <t>3.3-5 V</t>
        </is>
      </c>
      <c r="C6" s="115" t="inlineStr">
        <is>
          <t>Drive directly from STM32 3.3 V GPIO</t>
        </is>
      </c>
      <c r="D6" s="115" t="inlineStr">
        <is>
          <t>No level shifter required for the servo command signal</t>
        </is>
      </c>
      <c r="E6" s="115" t="inlineStr">
        <is>
          <t>Verified</t>
        </is>
      </c>
      <c r="F6" s="115" t="inlineStr">
        <is>
          <t>https://hajim.rochester.edu/me/sites/kelley/me240/DS3235-270_datasheet.pdf</t>
        </is>
      </c>
    </row>
    <row r="7">
      <c r="A7" s="115" t="inlineStr">
        <is>
          <t>Pulse width range</t>
        </is>
      </c>
      <c r="B7" s="115" t="inlineStr">
        <is>
          <t>500-2500 us</t>
        </is>
      </c>
      <c r="C7" s="115" t="inlineStr">
        <is>
          <t>Use firmware limits of 500-2500 us</t>
        </is>
      </c>
      <c r="D7" s="115" t="inlineStr">
        <is>
          <t>At 1 MHz timer tick, CCR range = 500-2500</t>
        </is>
      </c>
      <c r="E7" s="115" t="inlineStr">
        <is>
          <t>Verified</t>
        </is>
      </c>
      <c r="F7" s="115" t="inlineStr">
        <is>
          <t>https://hajim.rochester.edu/me/sites/kelley/me240/DS3235-270_datasheet.pdf</t>
        </is>
      </c>
    </row>
    <row r="8">
      <c r="A8" s="115" t="inlineStr">
        <is>
          <t>Neutral pulse</t>
        </is>
      </c>
      <c r="B8" s="115" t="inlineStr">
        <is>
          <t>1500 us</t>
        </is>
      </c>
      <c r="C8" s="115" t="inlineStr">
        <is>
          <t>Use only after mechanism-safe neutral is confirmed</t>
        </is>
      </c>
      <c r="D8" s="115" t="inlineStr">
        <is>
          <t>CCR = 1500 corresponds to servo neutral; do not assume mechanical system neutral until calibrated</t>
        </is>
      </c>
      <c r="E8" s="115" t="inlineStr">
        <is>
          <t>Verified</t>
        </is>
      </c>
      <c r="F8" s="115" t="inlineStr">
        <is>
          <t>https://hajim.rochester.edu/me/sites/kelley/me240/DS3235-270_datasheet.pdf</t>
        </is>
      </c>
    </row>
    <row r="9">
      <c r="A9" s="115" t="inlineStr">
        <is>
          <t>Operating frequency</t>
        </is>
      </c>
      <c r="B9" s="115" t="inlineStr">
        <is>
          <t>50-330 Hz (listing states 50-333 Hz)</t>
        </is>
      </c>
      <c r="C9" s="115" t="inlineStr">
        <is>
          <t>Use 50 Hz for initial bring-up</t>
        </is>
      </c>
      <c r="D9" s="115" t="inlineStr">
        <is>
          <t>TIM3/TIM5: PSC=99, ARR=19999 at 100 MHz -&gt; 50 Hz</t>
        </is>
      </c>
      <c r="E9" s="115" t="inlineStr">
        <is>
          <t>Verified</t>
        </is>
      </c>
      <c r="F9" s="115" t="inlineStr">
        <is>
          <t>https://hajim.rochester.edu/me/sites/kelley/me240/DS3235-270_datasheet.pdf</t>
        </is>
      </c>
    </row>
    <row r="10">
      <c r="A10" s="115" t="inlineStr">
        <is>
          <t>Timer resolution</t>
        </is>
      </c>
      <c r="B10" s="115" t="inlineStr">
        <is>
          <t>1 us per timer count</t>
        </is>
      </c>
      <c r="C10" s="115" t="inlineStr">
        <is>
          <t>PSC = 99 at 100 MHz</t>
        </is>
      </c>
      <c r="D10" s="115" t="inlineStr">
        <is>
          <t>Makes CCR numerically equal to pulse width in microseconds</t>
        </is>
      </c>
      <c r="E10" s="115" t="inlineStr">
        <is>
          <t>Selected</t>
        </is>
      </c>
      <c r="F10" s="115" t="inlineStr">
        <is>
          <t>STM32 CubeMX configuration</t>
        </is>
      </c>
    </row>
    <row r="11">
      <c r="A11" s="115" t="inlineStr">
        <is>
          <t>Initial PWM pulse</t>
        </is>
      </c>
      <c r="B11" s="115" t="inlineStr">
        <is>
          <t>0 us / CCR=0</t>
        </is>
      </c>
      <c r="C11" s="115" t="inlineStr">
        <is>
          <t>Send no valid servo command during MCU initialization</t>
        </is>
      </c>
      <c r="D11" s="115" t="inlineStr">
        <is>
          <t>Prevents an immediate commanded move before firmware establishes a safe position</t>
        </is>
      </c>
      <c r="E11" s="115" t="inlineStr">
        <is>
          <t>Selected</t>
        </is>
      </c>
      <c r="F11" s="115" t="inlineStr">
        <is>
          <t>Project safety decision</t>
        </is>
      </c>
    </row>
    <row r="12">
      <c r="A12" s="115" t="inlineStr">
        <is>
          <t>Stall current at 5 V</t>
        </is>
      </c>
      <c r="B12" s="115" t="inlineStr">
        <is>
          <t>1.9 A per servo</t>
        </is>
      </c>
      <c r="C12" s="115" t="inlineStr">
        <is>
          <t>Size 5 V distribution for simultaneous high load</t>
        </is>
      </c>
      <c r="D12" s="115" t="inlineStr">
        <is>
          <t>Six servos alone can demand the calculated worst-case current below</t>
        </is>
      </c>
      <c r="E12" s="115" t="inlineStr">
        <is>
          <t>Verified</t>
        </is>
      </c>
      <c r="F12" s="115" t="inlineStr">
        <is>
          <t>User-provided product listing</t>
        </is>
      </c>
    </row>
    <row r="13">
      <c r="A13" s="75" t="inlineStr">
        <is>
          <t>Servo PWM pull-downs</t>
        </is>
      </c>
      <c r="B13" s="75" t="inlineStr">
        <is>
          <t>10 kOhm to GND on each of 6 PWM signals</t>
        </is>
      </c>
      <c r="C13" s="75" t="inlineStr">
        <is>
          <t>Populate one resistor per servo command net</t>
        </is>
      </c>
      <c r="D13" s="75" t="inlineStr">
        <is>
          <t>Keeps each servo command line LOW/no-pulse while STM32 GPIO is reset/high-Z; 3.3 V HIGH only sinks about 0.33 mA through 10 kOhm</t>
        </is>
      </c>
      <c r="E13" s="75" t="inlineStr">
        <is>
          <t>Selected</t>
        </is>
      </c>
      <c r="F13" s="75" t="inlineStr">
        <is>
          <t>Project hardware safety decision</t>
        </is>
      </c>
    </row>
    <row r="14">
      <c r="A14" s="178" t="inlineStr">
        <is>
          <t>Servo 5 V Power Check</t>
        </is>
      </c>
      <c r="B14" s="178" t="inlineStr">
        <is>
          <t>Value</t>
        </is>
      </c>
      <c r="C14" s="178" t="inlineStr">
        <is>
          <t>Notes</t>
        </is>
      </c>
    </row>
    <row r="15">
      <c r="A15" s="75" t="inlineStr">
        <is>
          <t>Number of servos</t>
        </is>
      </c>
      <c r="B15" s="75" t="n">
        <v>6</v>
      </c>
      <c r="C15" s="75" t="inlineStr">
        <is>
          <t>Three 6-pin headers, each serving two servos. Each servo uses one PWM signal + 5 V + GND, so six servos require six PWM outputs total.</t>
        </is>
      </c>
    </row>
    <row r="16">
      <c r="A16" s="75" t="inlineStr">
        <is>
          <t>Stall current / servo at 5 V (A)</t>
        </is>
      </c>
      <c r="B16" s="75" t="n">
        <v>1.9</v>
      </c>
      <c r="C16" s="75" t="inlineStr">
        <is>
          <t>From user-provided product listing</t>
        </is>
      </c>
    </row>
    <row r="17">
      <c r="A17" s="75" t="inlineStr">
        <is>
          <t>Worst-case servo-only stall current (A)</t>
        </is>
      </c>
      <c r="B17" s="239">
        <f>B15*B16</f>
        <v/>
      </c>
      <c r="C17" s="75" t="inlineStr">
        <is>
          <t>Does not include Raspberry Pi or any other 5 V loads</t>
        </is>
      </c>
    </row>
    <row r="18">
      <c r="A18" s="75" t="inlineStr">
        <is>
          <t>Power-design implication</t>
        </is>
      </c>
      <c r="B18" s="75" t="n"/>
      <c r="C18" s="75" t="inlineStr">
        <is>
          <t>Regulator, fuse, connectors, copper widths, and return paths must tolerate high transient servo current without pulling down the 5 V rail</t>
        </is>
      </c>
    </row>
    <row r="20" ht="60" customHeight="1" s="58">
      <c r="A20" s="240" t="inlineStr">
        <is>
          <t>Design note: 50 Hz is intentionally retained for initial CubeMX configuration even though this digital servo supports faster refresh. The mechanical no-load speed is much slower than the 20 ms command frame, so 50 Hz is a conservative and adequate bring-up rate. After bench testing, TIM3/TIM5 can be moved to a higher common refresh rate if measured control latency justifies it.</t>
        </is>
      </c>
      <c r="B20" s="227" t="n"/>
      <c r="C20" s="227" t="n"/>
      <c r="D20" s="227" t="n"/>
      <c r="E20" s="227" t="n"/>
      <c r="F20" s="227" t="n"/>
    </row>
  </sheetData>
  <mergeCells count="2">
    <mergeCell ref="A20:F20"/>
    <mergeCell ref="A1:F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0" customWidth="1" style="58" min="1" max="1"/>
    <col width="35" customWidth="1" style="58" min="2" max="2"/>
    <col width="28" customWidth="1" style="58" min="3" max="3"/>
    <col width="14" customWidth="1" style="58" min="4" max="4"/>
    <col width="52" customWidth="1" style="58" min="5" max="5"/>
    <col width="38" customWidth="1" style="58" min="6" max="6"/>
  </cols>
  <sheetData>
    <row r="1" ht="26" customHeight="1" s="58">
      <c r="A1" s="241" t="inlineStr">
        <is>
          <t>STM32CubeMX Project Manager / Code Generation Settings</t>
        </is>
      </c>
      <c r="B1" s="227" t="n"/>
      <c r="C1" s="227" t="n"/>
      <c r="D1" s="227" t="n"/>
      <c r="E1" s="227" t="n"/>
      <c r="F1" s="227" t="n"/>
    </row>
    <row r="3">
      <c r="A3" s="206" t="inlineStr">
        <is>
          <t>Area</t>
        </is>
      </c>
      <c r="B3" s="206" t="inlineStr">
        <is>
          <t>Setting</t>
        </is>
      </c>
      <c r="C3" s="206" t="inlineStr">
        <is>
          <t>Recommended Value</t>
        </is>
      </c>
      <c r="D3" s="206" t="inlineStr">
        <is>
          <t>Status</t>
        </is>
      </c>
      <c r="E3" s="206" t="inlineStr">
        <is>
          <t>Why / Logic</t>
        </is>
      </c>
      <c r="F3" s="206" t="inlineStr">
        <is>
          <t>When to Change</t>
        </is>
      </c>
    </row>
    <row r="4">
      <c r="A4" s="75" t="inlineStr">
        <is>
          <t>Project</t>
        </is>
      </c>
      <c r="B4" s="75" t="inlineStr">
        <is>
          <t>Project Name</t>
        </is>
      </c>
      <c r="C4" s="75" t="inlineStr">
        <is>
          <t>SDP_Controller</t>
        </is>
      </c>
      <c r="D4" s="75" t="inlineStr">
        <is>
          <t>Next</t>
        </is>
      </c>
      <c r="E4" s="75" t="inlineStr">
        <is>
          <t>A short stable project name keeps generated folders, build artifacts, and version-control paths readable. The exact name does not affect MCU behavior.</t>
        </is>
      </c>
      <c r="F4" s="75" t="inlineStr">
        <is>
          <t>Change only if you have an established repository/project naming convention.</t>
        </is>
      </c>
    </row>
    <row r="5">
      <c r="A5" s="75" t="inlineStr">
        <is>
          <t>Project</t>
        </is>
      </c>
      <c r="B5" s="75" t="inlineStr">
        <is>
          <t>Toolchain / IDE</t>
        </is>
      </c>
      <c r="C5" s="75" t="inlineStr">
        <is>
          <t>STM32CubeIDE</t>
        </is>
      </c>
      <c r="D5" s="75" t="inlineStr">
        <is>
          <t>Next</t>
        </is>
      </c>
      <c r="E5" s="75" t="inlineStr">
        <is>
          <t>CubeIDE is ST's integrated build/debug environment and consumes CubeMX-generated HAL projects directly, which minimizes setup friction for bring-up and SWD debugging.</t>
        </is>
      </c>
      <c r="F5" s="75" t="inlineStr">
        <is>
          <t>Use another toolchain only if your team already standardizes on it.</t>
        </is>
      </c>
    </row>
    <row r="6">
      <c r="A6" s="75" t="inlineStr">
        <is>
          <t>Project</t>
        </is>
      </c>
      <c r="B6" s="75" t="inlineStr">
        <is>
          <t>Firmware Package</t>
        </is>
      </c>
      <c r="C6" s="75" t="inlineStr">
        <is>
          <t>Installed STM32Cube FW_G4 package compatible with CubeMX</t>
        </is>
      </c>
      <c r="D6" s="75" t="inlineStr">
        <is>
          <t>Next</t>
        </is>
      </c>
      <c r="E6" s="75" t="inlineStr">
        <is>
          <t>The G4 HAL/LL package contains the device startup files and peripheral drivers for the STM32G474. Using CubeMX's compatible installed package avoids version mismatches.</t>
        </is>
      </c>
      <c r="F6" s="75" t="inlineStr">
        <is>
          <t>Pin the exact package version once the project is under source control and stable.</t>
        </is>
      </c>
    </row>
    <row r="7">
      <c r="A7" s="75" t="inlineStr">
        <is>
          <t>Code Generator</t>
        </is>
      </c>
      <c r="B7" s="75" t="inlineStr">
        <is>
          <t>Keep User Code when re-generating</t>
        </is>
      </c>
      <c r="C7" s="75" t="inlineStr">
        <is>
          <t>Enable</t>
        </is>
      </c>
      <c r="D7" s="75" t="inlineStr">
        <is>
          <t>Next</t>
        </is>
      </c>
      <c r="E7" s="75" t="inlineStr">
        <is>
          <t>CubeMX can regenerate initialization files as the pinout changes. Preserving USER CODE sections prevents your application logic from being overwritten.</t>
        </is>
      </c>
      <c r="F7" s="75" t="inlineStr">
        <is>
          <t>Do not disable during normal development.</t>
        </is>
      </c>
    </row>
    <row r="8">
      <c r="A8" s="75" t="inlineStr">
        <is>
          <t>Code Generator</t>
        </is>
      </c>
      <c r="B8" s="75" t="inlineStr">
        <is>
          <t>Generate peripheral initialization as .c/.h pair per peripheral</t>
        </is>
      </c>
      <c r="C8" s="75" t="inlineStr">
        <is>
          <t>Enable</t>
        </is>
      </c>
      <c r="D8" s="75" t="inlineStr">
        <is>
          <t>Next</t>
        </is>
      </c>
      <c r="E8" s="75" t="inlineStr">
        <is>
          <t>Separating GPIO, timers, UART, etc. into their own generated files keeps main.c smaller and makes the project easier to navigate as this controller grows.</t>
        </is>
      </c>
      <c r="F8" s="75" t="inlineStr">
        <is>
          <t>Disable only if you intentionally want all generated init code in main.c.</t>
        </is>
      </c>
    </row>
    <row r="9">
      <c r="A9" s="75" t="inlineStr">
        <is>
          <t>Code Generator</t>
        </is>
      </c>
      <c r="B9" s="75" t="inlineStr">
        <is>
          <t>Copy only necessary library files</t>
        </is>
      </c>
      <c r="C9" s="75" t="inlineStr">
        <is>
          <t>Enable</t>
        </is>
      </c>
      <c r="D9" s="75" t="inlineStr">
        <is>
          <t>Next</t>
        </is>
      </c>
      <c r="E9" s="75" t="inlineStr">
        <is>
          <t>Keeps the project self-contained enough for building while avoiding copying unused HAL source files and unnecessary repository bloat.</t>
        </is>
      </c>
      <c r="F9" s="75" t="inlineStr">
        <is>
          <t>Copy all libraries only if your build/release process specifically requires the complete package.</t>
        </is>
      </c>
    </row>
    <row r="10">
      <c r="A10" s="75" t="inlineStr">
        <is>
          <t>Code Generator</t>
        </is>
      </c>
      <c r="B10" s="75" t="inlineStr">
        <is>
          <t>Set all free pins as analog</t>
        </is>
      </c>
      <c r="C10" s="75" t="inlineStr">
        <is>
          <t>Leave Disabled for now</t>
        </is>
      </c>
      <c r="D10" s="75" t="inlineStr">
        <is>
          <t>Next</t>
        </is>
      </c>
      <c r="E10" s="75" t="inlineStr">
        <is>
          <t>Several unused pins are intentionally being preserved for expansion/debugging. Leaving this unchecked avoids hiding that design intent and makes later reassignment straightforward.</t>
        </is>
      </c>
      <c r="F10" s="75" t="inlineStr">
        <is>
          <t>For a finalized low-power production design, unused pins can be intentionally placed in analog mode after the pinout is frozen.</t>
        </is>
      </c>
    </row>
    <row r="11">
      <c r="A11" s="75" t="inlineStr">
        <is>
          <t>Advanced Settings</t>
        </is>
      </c>
      <c r="B11" s="75" t="inlineStr">
        <is>
          <t>Driver selection</t>
        </is>
      </c>
      <c r="C11" s="75" t="inlineStr">
        <is>
          <t>HAL for configured peripherals</t>
        </is>
      </c>
      <c r="D11" s="75" t="inlineStr">
        <is>
          <t>Next</t>
        </is>
      </c>
      <c r="E11" s="75" t="inlineStr">
        <is>
          <t>HAL is easier to read, debug, and maintain, and its overhead is negligible for 20 kHz hardware PWM, 50 Hz servo PWM, GPIO enables, and 115200-baud UART. Hardware timers generate PWM autonomously.</t>
        </is>
      </c>
      <c r="F11" s="75" t="inlineStr">
        <is>
          <t>Use LL selectively only if later profiling shows a real latency/performance need.</t>
        </is>
      </c>
    </row>
    <row r="12">
      <c r="A12" s="75" t="inlineStr">
        <is>
          <t>Generated Function Calls</t>
        </is>
      </c>
      <c r="B12" s="75" t="inlineStr">
        <is>
          <t>MX_GPIO_Init()</t>
        </is>
      </c>
      <c r="C12" s="75" t="inlineStr">
        <is>
          <t>Keep early in initialization order</t>
        </is>
      </c>
      <c r="D12" s="75" t="inlineStr">
        <is>
          <t>Next</t>
        </is>
      </c>
      <c r="E12" s="75" t="inlineStr">
        <is>
          <t>Motor EN outputs must become defined LOW as early as practical. GPIO initialization also applies the named pin configuration before application logic runs.</t>
        </is>
      </c>
      <c r="F12" s="75" t="inlineStr">
        <is>
          <t>Do not move motor enabling into initialization; drivers should remain disabled until application safety checks pass.</t>
        </is>
      </c>
    </row>
    <row r="13">
      <c r="A13" s="75" t="inlineStr">
        <is>
          <t>Generated Function Calls</t>
        </is>
      </c>
      <c r="B13" s="75" t="inlineStr">
        <is>
          <t>Timer initialization</t>
        </is>
      </c>
      <c r="C13" s="75" t="inlineStr">
        <is>
          <t>After GPIO initialization</t>
        </is>
      </c>
      <c r="D13" s="75" t="inlineStr">
        <is>
          <t>Next</t>
        </is>
      </c>
      <c r="E13" s="75" t="inlineStr">
        <is>
          <t>TIM initialization sets registers but does not need to command motion. PWM channels should only be started deliberately in application code after initialization and safe-state checks.</t>
        </is>
      </c>
      <c r="F13" s="75" t="inlineStr">
        <is>
          <t>No change unless later dependencies require a different init order.</t>
        </is>
      </c>
    </row>
    <row r="14">
      <c r="A14" s="75" t="inlineStr">
        <is>
          <t>Generated Function Calls</t>
        </is>
      </c>
      <c r="B14" s="75" t="inlineStr">
        <is>
          <t>USART3 initialization</t>
        </is>
      </c>
      <c r="C14" s="75" t="inlineStr">
        <is>
          <t>After GPIO / normal generated order</t>
        </is>
      </c>
      <c r="D14" s="75" t="inlineStr">
        <is>
          <t>Next</t>
        </is>
      </c>
      <c r="E14" s="75" t="inlineStr">
        <is>
          <t>The UART only needs to be ready before application code begins receiving Pi commands; it has no hard dependency on starting before the timers.</t>
        </is>
      </c>
      <c r="F14" s="75" t="inlineStr">
        <is>
          <t>No change normally.</t>
        </is>
      </c>
    </row>
    <row r="15">
      <c r="A15" s="75" t="inlineStr">
        <is>
          <t>NVIC</t>
        </is>
      </c>
      <c r="B15" s="75" t="inlineStr">
        <is>
          <t>USART3 global interrupt</t>
        </is>
      </c>
      <c r="C15" s="75" t="inlineStr">
        <is>
          <t>Enabled</t>
        </is>
      </c>
      <c r="D15" s="75" t="inlineStr">
        <is>
          <t>Confirmed</t>
        </is>
      </c>
      <c r="E15" s="75" t="inlineStr">
        <is>
          <t>Allows non-blocking command reception from the Raspberry Pi. Timer interrupts are not needed because PWM generation is performed in hardware.</t>
        </is>
      </c>
      <c r="F15" s="75" t="inlineStr">
        <is>
          <t>Add DMA/other interrupts only if future data-rate or latency requirements justify them.</t>
        </is>
      </c>
    </row>
    <row r="16">
      <c r="A16" s="75" t="inlineStr">
        <is>
          <t>Unused peripherals</t>
        </is>
      </c>
      <c r="B16" s="75" t="inlineStr">
        <is>
          <t>USART2 on PB3/PB4</t>
        </is>
      </c>
      <c r="C16" s="75" t="inlineStr">
        <is>
          <t>Leave unconfigured / reserved</t>
        </is>
      </c>
      <c r="D16" s="75" t="inlineStr">
        <is>
          <t>Reserved</t>
        </is>
      </c>
      <c r="E16" s="75" t="inlineStr">
        <is>
          <t>There is no defined offboard-STM communication requirement yet. Leaving it unconfigured prevents unnecessary code and preserves the pins for later use.</t>
        </is>
      </c>
      <c r="F16" s="75" t="inlineStr">
        <is>
          <t>Enable when the offboard STM interface is formally defined.</t>
        </is>
      </c>
    </row>
  </sheetData>
  <mergeCells count="1">
    <mergeCell ref="A1:F1"/>
  </mergeCells>
  <conditionalFormatting sqref="D4:D16">
    <cfRule type="expression" priority="1" dxfId="0">
      <formula>D4="Confirmed"</formula>
    </cfRule>
    <cfRule type="expression" priority="2" dxfId="1">
      <formula>D4="Next"</formula>
    </cfRule>
    <cfRule type="expression" priority="3" dxfId="2">
      <formula>D4="Reserved"</formula>
    </cfRule>
  </conditionalFormatting>
  <dataValidations count="1">
    <dataValidation sqref="D4:D16" showDropDown="0" showInputMessage="0" showErrorMessage="0" allowBlank="0" type="list">
      <formula1>"Next,Confirmed,Reserved,Optional,Not Needed"</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4" customWidth="1" style="58" min="1" max="1"/>
    <col width="18" customWidth="1" style="58" min="2" max="2"/>
    <col width="35" customWidth="1" style="58" min="3" max="3"/>
    <col width="35" customWidth="1" style="58" min="4" max="4"/>
    <col width="40" customWidth="1" style="58" min="5" max="5"/>
    <col width="22" customWidth="1" style="58" min="6" max="6"/>
    <col width="46" customWidth="1" style="58" min="7" max="7"/>
    <col width="34" customWidth="1" style="58" min="8" max="8"/>
  </cols>
  <sheetData>
    <row r="1" ht="28" customHeight="1" s="58">
      <c r="A1" s="242" t="inlineStr">
        <is>
          <t>STM32G474CBT6TR Power, Ground, Reset &amp; Boot Connections</t>
        </is>
      </c>
      <c r="B1" s="227" t="n"/>
      <c r="C1" s="227" t="n"/>
      <c r="D1" s="227" t="n"/>
      <c r="E1" s="227" t="n"/>
      <c r="F1" s="227" t="n"/>
      <c r="G1" s="227" t="n"/>
      <c r="H1" s="227" t="n"/>
    </row>
    <row r="3" ht="30" customHeight="1" s="58">
      <c r="A3" s="217" t="inlineStr">
        <is>
          <t>MCU Pin(s)</t>
        </is>
      </c>
      <c r="B3" s="217" t="inlineStr">
        <is>
          <t>Net / Rail</t>
        </is>
      </c>
      <c r="C3" s="217" t="inlineStr">
        <is>
          <t>Required Connection</t>
        </is>
      </c>
      <c r="D3" s="217" t="inlineStr">
        <is>
          <t>Local Components</t>
        </is>
      </c>
      <c r="E3" s="217" t="inlineStr">
        <is>
          <t>Placement / Routing</t>
        </is>
      </c>
      <c r="F3" s="217" t="inlineStr">
        <is>
          <t>Status</t>
        </is>
      </c>
      <c r="G3" s="217" t="inlineStr">
        <is>
          <t>Why / Logic</t>
        </is>
      </c>
      <c r="H3" s="217" t="inlineStr">
        <is>
          <t>Source</t>
        </is>
      </c>
    </row>
    <row r="4">
      <c r="A4" s="218" t="inlineStr">
        <is>
          <t>24, 36, 48</t>
        </is>
      </c>
      <c r="B4" s="219" t="inlineStr">
        <is>
          <t>VDD</t>
        </is>
      </c>
      <c r="C4" s="219" t="inlineStr">
        <is>
          <t>Connect all three pins to 3V3 from the TLV70033 rail</t>
        </is>
      </c>
      <c r="D4" s="219" t="inlineStr">
        <is>
          <t>100 nF ceramic from each VDD pin to GND; plus one 4.7-10 uF local bulk capacitor on 3V3</t>
        </is>
      </c>
      <c r="E4" s="219" t="inlineStr">
        <is>
          <t>Each 100 nF should be immediately beside its VDD/VSS pin pair with the shortest possible loop; bulk cap close to MCU</t>
        </is>
      </c>
      <c r="F4" s="219" t="inlineStr">
        <is>
          <t>Present - change C19/C21/C22 from 1 uF to 100 nF; C18=10 uF bulk is acceptable</t>
        </is>
      </c>
      <c r="G4" s="219" t="inlineStr">
        <is>
          <t>The current schematic has the required three VDD decoupling branches, but the per-pin capacitors are labeled 1 uF. ST specifies one 100 nF ceramic per VDD pin plus one local 4.7 uF bulk capacitor. Keeping 10 uF as the local bulk capacitor is acceptable.</t>
        </is>
      </c>
      <c r="H4" s="220" t="inlineStr">
        <is>
          <t>https://www.st.com/resource/en/datasheet/stm32g474re.pdf</t>
        </is>
      </c>
    </row>
    <row r="5">
      <c r="A5" s="221" t="inlineStr">
        <is>
          <t>23, 35, 47</t>
        </is>
      </c>
      <c r="B5" s="115" t="inlineStr">
        <is>
          <t>VSS</t>
        </is>
      </c>
      <c r="C5" s="115" t="inlineStr">
        <is>
          <t>Connect all VSS pins directly to GND</t>
        </is>
      </c>
      <c r="D5" s="115" t="inlineStr">
        <is>
          <t>None beyond the VDD decoupling capacitors returning to these ground nodes/plane</t>
        </is>
      </c>
      <c r="E5" s="115" t="inlineStr">
        <is>
          <t>Use a continuous low-impedance ground plane; use short vias/traces</t>
        </is>
      </c>
      <c r="F5" s="115" t="inlineStr">
        <is>
          <t>Present</t>
        </is>
      </c>
      <c r="G5" s="115" t="inlineStr">
        <is>
          <t>All digital ground pins must be connected. A solid ground plane minimizes return impedance and EMI.</t>
        </is>
      </c>
      <c r="H5" s="222" t="inlineStr">
        <is>
          <t>https://www.st.com/resource/en/application_note/an5093-getting-started-with-stm32g4-series--hardware-development-boards-stmicroelectronics.pdf</t>
        </is>
      </c>
    </row>
    <row r="6">
      <c r="A6" s="221" t="inlineStr">
        <is>
          <t>21</t>
        </is>
      </c>
      <c r="B6" s="115" t="inlineStr">
        <is>
          <t>VDDA</t>
        </is>
      </c>
      <c r="C6" s="115" t="inlineStr">
        <is>
          <t>Connect VDDA directly to 3V3 (no ferrite bead required for this design)</t>
        </is>
      </c>
      <c r="D6" s="115" t="inlineStr">
        <is>
          <t>10 nF + 1 uF ceramic from VDDA to VSSA</t>
        </is>
      </c>
      <c r="E6" s="115" t="inlineStr">
        <is>
          <t>Place both capacitors immediately beside pin 21 with a very short return to VSSA/GND; keep the local analog area away from motor/solenoid switching loops</t>
        </is>
      </c>
      <c r="F6" s="115" t="inlineStr">
        <is>
          <t>Present - values correct (C15=1 uF, C16=10 nF)</t>
        </is>
      </c>
      <c r="G6" s="115" t="inlineStr">
        <is>
          <t>ST allows the ferrite bead between VDD and VDDA to be replaced by a direct connection. Because this controller is not relying on high-precision analog measurements, direct 3V3 plus the specified local decoupling is the simpler appropriate choice. If later ADC noise testing shows a problem, a bead can be added in a future revision.</t>
        </is>
      </c>
      <c r="H6" s="222" t="inlineStr">
        <is>
          <t>https://www.st.com/resource/en/datasheet/stm32g474re.pdf ; https://www.st.com/resource/en/application_note/dm00442716-getting-started-with-stm32g4-series-hardware-development-boards-stmicroelectronics.pdf</t>
        </is>
      </c>
    </row>
    <row r="7">
      <c r="A7" s="221" t="inlineStr">
        <is>
          <t>19</t>
        </is>
      </c>
      <c r="B7" s="115" t="inlineStr">
        <is>
          <t>VSSA</t>
        </is>
      </c>
      <c r="C7" s="115" t="inlineStr">
        <is>
          <t>Connect directly to GND / solid ground plane</t>
        </is>
      </c>
      <c r="D7" s="115" t="inlineStr">
        <is>
          <t>Return the VDDA and VREF+ decoupling capacitors to VSSA</t>
        </is>
      </c>
      <c r="E7" s="115" t="inlineStr">
        <is>
          <t>Keep the analog decoupling return short; do not leave VSSA floating</t>
        </is>
      </c>
      <c r="F7" s="115" t="inlineStr">
        <is>
          <t>Present</t>
        </is>
      </c>
      <c r="G7" s="115" t="inlineStr">
        <is>
          <t>VSSA is the analog ground reference. It still must be tied to system ground; leaving it floating would make the analog domain/reference undefined.</t>
        </is>
      </c>
      <c r="H7" s="222" t="inlineStr">
        <is>
          <t>https://www.st.com/resource/en/application_note/an5093-getting-started-with-stm32g4-series--hardware-development-boards-stmicroelectronics.pdf</t>
        </is>
      </c>
    </row>
    <row r="8">
      <c r="A8" s="221" t="inlineStr">
        <is>
          <t>20</t>
        </is>
      </c>
      <c r="B8" s="115" t="inlineStr">
        <is>
          <t>VREF+</t>
        </is>
      </c>
      <c r="C8" s="115" t="inlineStr">
        <is>
          <t>Connect VREF+ directly to VDDA; keep VREFBUF disabled in CubeMX</t>
        </is>
      </c>
      <c r="D8" s="115" t="inlineStr">
        <is>
          <t>100 nF + 1 uF ceramic from VREF+ to VSSA</t>
        </is>
      </c>
      <c r="E8" s="115" t="inlineStr">
        <is>
          <t>Place both capacitors immediately beside pin 20 with short return to VSSA/GND</t>
        </is>
      </c>
      <c r="F8" s="115" t="inlineStr">
        <is>
          <t>Present - change C14 from 1 uF to 100 nF; keep C13=1 uF</t>
        </is>
      </c>
      <c r="G8" s="115" t="inlineStr">
        <is>
          <t>ST shows 100 nF + 1 uF local decoupling on VREF+. The current schematic has two 1 uF capacitors, so one should be changed to 100 nF.</t>
        </is>
      </c>
      <c r="H8" s="222" t="inlineStr">
        <is>
          <t>https://www.st.com/resource/en/datasheet/stm32g474re.pdf</t>
        </is>
      </c>
    </row>
    <row r="9">
      <c r="A9" s="221" t="inlineStr">
        <is>
          <t>1</t>
        </is>
      </c>
      <c r="B9" s="115" t="inlineStr">
        <is>
          <t>VBAT</t>
        </is>
      </c>
      <c r="C9" s="115" t="inlineStr">
        <is>
          <t>No backup battery planned: connect VBAT to 3V3/VDD</t>
        </is>
      </c>
      <c r="D9" s="115" t="inlineStr">
        <is>
          <t>100 nF ceramic from VBAT to GND</t>
        </is>
      </c>
      <c r="E9" s="115" t="inlineStr">
        <is>
          <t>Place close to pin 1</t>
        </is>
      </c>
      <c r="F9" s="115" t="inlineStr">
        <is>
          <t>Present - C17=100 nF</t>
        </is>
      </c>
      <c r="G9" s="115" t="inlineStr">
        <is>
          <t>ST recommends tying VBAT externally to VDD when no battery is used; this keeps the backup domain powered normally and avoids a floating supply pin.</t>
        </is>
      </c>
      <c r="H9" s="222" t="inlineStr">
        <is>
          <t>https://www.st.com/resource/en/application_note/an5093-getting-started-with-stm32g4-series--hardware-development-boards-stmicroelectronics.pdf</t>
        </is>
      </c>
    </row>
    <row r="10">
      <c r="A10" s="221" t="inlineStr">
        <is>
          <t>45</t>
        </is>
      </c>
      <c r="B10" s="115" t="inlineStr">
        <is>
          <t>PB8 / BOOT0</t>
        </is>
      </c>
      <c r="C10" s="115" t="inlineStr">
        <is>
          <t>Add 10 kOhm pull-down from PB8/BOOT0 to GND; optional test pad/jumper to 3V3 if bootloader access is desired</t>
        </is>
      </c>
      <c r="D10" s="115" t="inlineStr">
        <is>
          <t>10 kOhm to GND</t>
        </is>
      </c>
      <c r="E10" s="115" t="inlineStr">
        <is>
          <t>Place resistor close to MCU; optional test point can be farther away</t>
        </is>
      </c>
      <c r="F10" s="115" t="inlineStr">
        <is>
          <t>Present - R5=10 kOhm pull-down</t>
        </is>
      </c>
      <c r="G10" s="115" t="inlineStr">
        <is>
          <t>LOW selects normal boot from user Flash. A hardware pull-down provides a deterministic boot state during reset. SWD remains available for normal programming.</t>
        </is>
      </c>
      <c r="H10" s="222" t="inlineStr">
        <is>
          <t>https://www.st.com/resource/en/application_note/an5093-getting-started-with-stm32g4-series--hardware-development-boards-stmicroelectronics.pdf</t>
        </is>
      </c>
    </row>
    <row r="11">
      <c r="A11" s="221" t="inlineStr">
        <is>
          <t>7</t>
        </is>
      </c>
      <c r="B11" s="115" t="inlineStr">
        <is>
          <t>PG10 / NRST</t>
        </is>
      </c>
      <c r="C11" s="115" t="inlineStr">
        <is>
          <t>Route to SWD header; optionally add reset pushbutton from NRST to GND</t>
        </is>
      </c>
      <c r="D11" s="115" t="inlineStr">
        <is>
          <t>100 nF from NRST to GND; no external pull-down</t>
        </is>
      </c>
      <c r="E11" s="115" t="inlineStr">
        <is>
          <t>Cap close to MCU; keep reset trace away from noisy motor/solenoid nodes</t>
        </is>
      </c>
      <c r="F11" s="115" t="inlineStr">
        <is>
          <t>Present - C20=100 nF and NRST routed to header</t>
        </is>
      </c>
      <c r="G11" s="115" t="inlineStr">
        <is>
          <t>NRST is active-low and has an internal pull-up. The capacitor improves reset-noise immunity; the debug tool benefits from access to NRST.</t>
        </is>
      </c>
      <c r="H11" s="222" t="inlineStr">
        <is>
          <t>https://www.st.com/resource/en/application_note/an5093-getting-started-with-stm32g4-series--hardware-development-boards-stmicroelectronics.pdf</t>
        </is>
      </c>
    </row>
    <row r="12">
      <c r="A12" s="221" t="inlineStr">
        <is>
          <t>37, 38, 7 + 3V3/GND</t>
        </is>
      </c>
      <c r="B12" s="115" t="inlineStr">
        <is>
          <t>SWD header</t>
        </is>
      </c>
      <c r="C12" s="115" t="inlineStr">
        <is>
          <t>Expose SWDIO (PA13), SWCLK (PA14), NRST, 3V3/Vref, and GND</t>
        </is>
      </c>
      <c r="D12" s="115" t="inlineStr">
        <is>
          <t>No extra pulls on SWDIO/SWCLK</t>
        </is>
      </c>
      <c r="E12" s="115" t="inlineStr">
        <is>
          <t>Keep SWD traces short and accessible; 3V3 on header is target voltage sense, not necessarily programmer power</t>
        </is>
      </c>
      <c r="F12" s="115" t="inlineStr">
        <is>
          <t>Present</t>
        </is>
      </c>
      <c r="G12" s="115" t="inlineStr">
        <is>
          <t>These five signals are enough for reliable SWD programming/debugging. The MCU provides the normal SWD pulls internally.</t>
        </is>
      </c>
      <c r="H12" s="222" t="inlineStr">
        <is>
          <t>https://www.st.com/resource/en/application_note/an5093-getting-started-with-stm32g4-series--hardware-development-boards-stmicroelectronics.pdf</t>
        </is>
      </c>
    </row>
    <row r="13">
      <c r="A13" s="221" t="inlineStr">
        <is>
          <t>3,4,5,6</t>
        </is>
      </c>
      <c r="B13" s="115" t="inlineStr">
        <is>
          <t>PC14/PC15/PF0/PF1 oscillator pins</t>
        </is>
      </c>
      <c r="C13" s="115" t="inlineStr">
        <is>
          <t>Leave unconnected because LSE and HSE are disabled and HSI16 is used</t>
        </is>
      </c>
      <c r="D13" s="115" t="inlineStr">
        <is>
          <t>No crystal/load capacitors required</t>
        </is>
      </c>
      <c r="E13" s="115" t="inlineStr">
        <is>
          <t>Mark NC/no-connect in schematic if the CAD tool flags them</t>
        </is>
      </c>
      <c r="F13" s="115" t="inlineStr">
        <is>
          <t>Confirmed - no external oscillator</t>
        </is>
      </c>
      <c r="G13" s="115" t="inlineStr">
        <is>
          <t>The configured clock source is the internal HSI16, so external oscillator components are unnecessary and would only add cost/area.</t>
        </is>
      </c>
      <c r="H13" s="222" t="inlineStr">
        <is>
          <t>https://www.st.com/resource/en/application_note/an5093-getting-started-with-stm32g4-series--hardware-development-boards-stmicroelectronics.pdf</t>
        </is>
      </c>
    </row>
    <row r="14">
      <c r="A14" s="223" t="inlineStr">
        <is>
          <t>34</t>
        </is>
      </c>
      <c r="B14" s="224" t="inlineStr">
        <is>
          <t>PA12 / SOL_GPIO</t>
        </is>
      </c>
      <c r="C14" s="224" t="inlineStr">
        <is>
          <t>Keep as GPIO control only; drive a MOSFET/driver input, never the coil directly</t>
        </is>
      </c>
      <c r="D14" s="224" t="inlineStr">
        <is>
          <t>10 kOhm pull-down on control/gate; flyback suppression across the solenoid coil; add gate/base resistor as required by chosen driver</t>
        </is>
      </c>
      <c r="E14" s="224" t="inlineStr">
        <is>
          <t>Place flyback device close to coil/connector or power switch current loop; keep high-current return out of MCU ground path</t>
        </is>
      </c>
      <c r="F14" s="224" t="inlineStr">
        <is>
          <t>Required hardware around driver</t>
        </is>
      </c>
      <c r="G14" s="224" t="inlineStr">
        <is>
          <t>PA12 can source only logic-level current. The solenoid is an inductive load and requires a power switch plus suppression to protect the MCU/driver and reduce EMI.</t>
        </is>
      </c>
      <c r="H14" s="225" t="inlineStr">
        <is>
          <t>https://www.st.com/en/microcontrollers-microprocessors/stm32g474cb.html</t>
        </is>
      </c>
    </row>
    <row r="15">
      <c r="A15" s="225" t="inlineStr"/>
      <c r="B15" s="225" t="inlineStr">
        <is>
          <t>Net naming convention</t>
        </is>
      </c>
      <c r="C15" s="225" t="inlineStr">
        <is>
          <t>Use 3V3 as the single net label for VDD1/VDD2/VDD3/VBAT where tied together</t>
        </is>
      </c>
      <c r="D15" s="225" t="inlineStr">
        <is>
          <t>Use refdes/text to identify C19-&gt;VDD24, C21-&gt;VDD36, C22-&gt;VDD48, C17-&gt;VBAT</t>
        </is>
      </c>
      <c r="E15" s="225" t="inlineStr">
        <is>
          <t>Do not create VDD1/VDD2/VDD3/VBAT aliases on the same wire</t>
        </is>
      </c>
      <c r="F15" s="225" t="inlineStr">
        <is>
          <t>Confirmed</t>
        </is>
      </c>
    </row>
  </sheetData>
  <mergeCells count="1">
    <mergeCell ref="A1:H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F44"/>
  <sheetViews>
    <sheetView showGridLines="0" workbookViewId="0">
      <pane ySplit="3" topLeftCell="A4" activePane="bottomLeft" state="frozen"/>
      <selection pane="bottomLeft" activeCell="A1" sqref="A1"/>
    </sheetView>
  </sheetViews>
  <sheetFormatPr baseColWidth="8" defaultRowHeight="15"/>
  <cols>
    <col width="24" customWidth="1" style="58" min="1" max="1"/>
    <col width="36" customWidth="1" style="58" min="2" max="2"/>
    <col width="45" customWidth="1" style="58" min="3" max="3"/>
    <col width="52" customWidth="1" style="58" min="4" max="4"/>
    <col width="14" customWidth="1" style="58" min="5" max="5"/>
    <col width="62" customWidth="1" style="58" min="6" max="6"/>
  </cols>
  <sheetData>
    <row r="1" ht="25" customHeight="1" s="58">
      <c r="A1" s="244" t="inlineStr">
        <is>
          <t>Final Schematic Review - 2026-09-21</t>
        </is>
      </c>
      <c r="B1" s="227" t="n"/>
      <c r="C1" s="227" t="n"/>
      <c r="D1" s="227" t="n"/>
      <c r="E1" s="227" t="n"/>
      <c r="F1" s="227" t="n"/>
    </row>
    <row r="3">
      <c r="A3" s="245" t="inlineStr">
        <is>
          <t>Area / Net</t>
        </is>
      </c>
      <c r="B3" s="245" t="inlineStr">
        <is>
          <t>Current schematic</t>
        </is>
      </c>
      <c r="C3" s="245" t="inlineStr">
        <is>
          <t>Finding</t>
        </is>
      </c>
      <c r="D3" s="245" t="inlineStr">
        <is>
          <t>Required action</t>
        </is>
      </c>
      <c r="E3" s="245" t="inlineStr">
        <is>
          <t>Priority</t>
        </is>
      </c>
      <c r="F3" s="245" t="inlineStr">
        <is>
          <t>Logic / source</t>
        </is>
      </c>
    </row>
    <row r="4">
      <c r="A4" s="246" t="inlineStr">
        <is>
          <t>LMR51450 5 V output</t>
        </is>
      </c>
      <c r="B4" s="246" t="inlineStr">
        <is>
          <t>5V label and C8/C9 are connected at the RFF-CFF junction instead of directly to the inductor output node.</t>
        </is>
      </c>
      <c r="C4" s="246" t="inlineStr">
        <is>
          <t>This is a real wiring error. The output rail must be the node after L1, which also feeds RFBT and the RFF-CFF branch.</t>
        </is>
      </c>
      <c r="D4" s="246" t="inlineStr">
        <is>
          <t>Move the 5V net label and both 33 uF output capacitors to the L1 output node (same node as tops of R1/R2). Leave the R1-C7 midpoint unlabeled/private.</t>
        </is>
      </c>
      <c r="E4" s="246" t="inlineStr">
        <is>
          <t>CRITICAL</t>
        </is>
      </c>
      <c r="F4" s="246" t="inlineStr">
        <is>
          <t>TI Fig. 9-1 shows COUT and VOUT directly after LOUT. https://www.ti.com/lit/ds/symlink/lmr51450.pdf</t>
        </is>
      </c>
    </row>
    <row r="5">
      <c r="A5" s="246" t="inlineStr">
        <is>
          <t>5 V rail naming</t>
        </is>
      </c>
      <c r="B5" s="246" t="inlineStr">
        <is>
          <t>Buck output is labeled 5V while TLV700 input is labeled 5.1V.</t>
        </is>
      </c>
      <c r="C5" s="246" t="inlineStr">
        <is>
          <t>Those are currently different nets in Altium. The feedback divider 100 kOhm / 19.1 kOhm is the TI 5 V design.</t>
        </is>
      </c>
      <c r="D5" s="246" t="inlineStr">
        <is>
          <t>Use one net name everywhere, preferably 5V. Rename the TLV700 input/C4/EN rail from 5.1V to 5V.</t>
        </is>
      </c>
      <c r="E5" s="246" t="inlineStr">
        <is>
          <t>CRITICAL</t>
        </is>
      </c>
      <c r="F5" s="246" t="inlineStr">
        <is>
          <t>TI 5 V design uses 100 kOhm / 19.1 kOhm. https://www.ti.com/lit/ds/symlink/lmr51450.pdf</t>
        </is>
      </c>
    </row>
    <row r="6">
      <c r="A6" s="247" t="inlineStr">
        <is>
          <t>LMR51450 feedback network</t>
        </is>
      </c>
      <c r="B6" s="247" t="inlineStr">
        <is>
          <t>R2=100 kOhm, R3=19.1 kOhm, R1=1 kOhm, C7=33 pF, L1=4.7 uH, C8/C9=33 uF.</t>
        </is>
      </c>
      <c r="C6" s="247" t="inlineStr">
        <is>
          <t>Component values match TI 500 kHz / 5 V LMR51450 example once the output node is wired correctly. RT open correctly selects 500 kHz; CBOOT=100 nF is correct.</t>
        </is>
      </c>
      <c r="D6" s="247" t="inlineStr">
        <is>
          <t>Keep values; fix only the output-node wiring and place feedback parts close to FB during layout.</t>
        </is>
      </c>
      <c r="E6" s="247" t="inlineStr">
        <is>
          <t>OK after wiring fix</t>
        </is>
      </c>
      <c r="F6" s="247" t="inlineStr">
        <is>
          <t>TI Table 9-2 and bootstrap guidance. https://www.ti.com/lit/ds/symlink/lmr51450.pdf</t>
        </is>
      </c>
    </row>
    <row r="7">
      <c r="A7" s="247" t="inlineStr">
        <is>
          <t>LMR51450 input caps</t>
        </is>
      </c>
      <c r="B7" s="247" t="inlineStr">
        <is>
          <t>C1/C2=4.7 uF, C3=100 nF on 12 V.</t>
        </is>
      </c>
      <c r="C7" s="247" t="inlineStr">
        <is>
          <t>Matches TI example input decoupling.</t>
        </is>
      </c>
      <c r="D7" s="247" t="inlineStr">
        <is>
          <t>Keep; use X7R/X5R, 50 V for 4.7 uF parts, and place C3/C1/C2 very close to VIN/PGND.</t>
        </is>
      </c>
      <c r="E7" s="247" t="inlineStr">
        <is>
          <t>OK</t>
        </is>
      </c>
      <c r="F7" s="247" t="inlineStr">
        <is>
          <t>TI recommends 2x4.7 uF / 50 V + 0.1 uF. https://www.ti.com/lit/ds/symlink/lmr51450.pdf</t>
        </is>
      </c>
    </row>
    <row r="8">
      <c r="A8" s="248" t="inlineStr">
        <is>
          <t>NSR020A0X43Z trim</t>
        </is>
      </c>
      <c r="B8" s="248" t="inlineStr">
        <is>
          <t>R4=220 Ohm between Trim+ and Trim-.</t>
        </is>
      </c>
      <c r="C8" s="248" t="inlineStr">
        <is>
          <t>6.0 V nominal table value is 219 Ohm and the specified set-point accuracy assumes a +/-0.5% trim resistor.</t>
        </is>
      </c>
      <c r="D8" s="248" t="inlineStr">
        <is>
          <t>Change R4 to 219 Ohm, preferably 0.5% or 0.1%.</t>
        </is>
      </c>
      <c r="E8" s="248" t="inlineStr">
        <is>
          <t>HIGH</t>
        </is>
      </c>
      <c r="F8" s="248" t="inlineStr">
        <is>
          <t>OmniOn table lists 219 Ohm for 6.0 V. https://www.mouser.com/datasheet/2/167/nsr020_ds-3402015.pdf</t>
        </is>
      </c>
    </row>
    <row r="9">
      <c r="A9" s="246" t="inlineStr">
        <is>
          <t>NSR020 output capacitor</t>
        </is>
      </c>
      <c r="B9" s="246" t="inlineStr">
        <is>
          <t>C12 currently 470 uF; replacement planned at 220 uF.</t>
        </is>
      </c>
      <c r="C9" s="246" t="inlineStr">
        <is>
          <t>Without Tunable Loop the NSR020 permits up to 300 uF external output capacitance for ESR &gt;=1 mOhm. A radial through-hole 220 uF electrolytic is acceptable; SMD is not required.</t>
        </is>
      </c>
      <c r="D9" s="246" t="inlineStr">
        <is>
          <t>Use 220 uF, preferably 16 V or 25 V rated, low-ESR radial electrolytic/polymer. Place it close to Vout/GND and observe polarity. Keep total external output capacitance &lt;=300 uF unless Tunable Loop is added.</t>
        </is>
      </c>
      <c r="E9" s="246" t="inlineStr">
        <is>
          <t>OK with 220 uF</t>
        </is>
      </c>
      <c r="F9" s="246" t="inlineStr">
        <is>
          <t>OmniOn external capacitance limit: 300 uF without Tunable Loop. https://www.mouser.com/datasheet/2/167/nsr020_ds-3402015.pdf</t>
        </is>
      </c>
    </row>
    <row r="10">
      <c r="A10" s="247" t="inlineStr">
        <is>
          <t>NSR020 input caps</t>
        </is>
      </c>
      <c r="B10" s="247" t="inlineStr">
        <is>
          <t>C10/C11=22 uF each at 12 V.</t>
        </is>
      </c>
      <c r="C10" s="247" t="inlineStr">
        <is>
          <t>2x22 uF is directly shown in the datasheet input-ripple guidance.</t>
        </is>
      </c>
      <c r="D10" s="247" t="inlineStr">
        <is>
          <t>Keep and place directly adjacent to the Vin/GND pins. Use low-ESR ceramic/polymer with adequate voltage rating.</t>
        </is>
      </c>
      <c r="E10" s="247" t="inlineStr">
        <is>
          <t>OK</t>
        </is>
      </c>
      <c r="F10" s="247" t="inlineStr">
        <is>
          <t>OmniOn input filtering section uses 2x22 uF or 4x22 uF at 12 V. https://www.mouser.com/datasheet/2/167/nsr020_ds-3402015.pdf</t>
        </is>
      </c>
    </row>
    <row r="11">
      <c r="A11" s="247" t="inlineStr">
        <is>
          <t>NSR020 sense wiring</t>
        </is>
      </c>
      <c r="B11" s="247" t="inlineStr">
        <is>
          <t>Sense+ returns to Vout and Sense- returns to GND locally.</t>
        </is>
      </c>
      <c r="C11" s="247" t="inlineStr">
        <is>
          <t>Correct for local sensing. The traces should be Kelvin/sense traces rather than carrying load current.</t>
        </is>
      </c>
      <c r="D11" s="247" t="inlineStr">
        <is>
          <t>Keep electrically; route Sense+/- separately to the regulated output/ground point and away from high-current paths.</t>
        </is>
      </c>
      <c r="E11" s="247" t="inlineStr">
        <is>
          <t>OK / layout</t>
        </is>
      </c>
      <c r="F11" s="247" t="inlineStr">
        <is>
          <t>OmniOn remote sense range is 0.5 V; Kelvin routing avoids load-current drop error. https://www.mouser.com/datasheet/2/167/nsr020_ds-3402015.pdf</t>
        </is>
      </c>
    </row>
    <row r="12">
      <c r="A12" s="247" t="inlineStr">
        <is>
          <t>TLV70033</t>
        </is>
      </c>
      <c r="B12" s="247" t="inlineStr">
        <is>
          <t>IN and EN tied together; C4=1 uF input, C5=1 uF output; NC open.</t>
        </is>
      </c>
      <c r="C12" s="247" t="inlineStr">
        <is>
          <t>Correct always-on configuration. 1 uF input/output capacitors match TI guidance.</t>
        </is>
      </c>
      <c r="D12" s="247" t="inlineStr">
        <is>
          <t>Rename input rail to 5V so it is actually connected to the buck. NC may remain open; tying NC to GND is optional for thermal benefit.</t>
        </is>
      </c>
      <c r="E12" s="247" t="inlineStr">
        <is>
          <t>OK after net rename</t>
        </is>
      </c>
      <c r="F12" s="247" t="inlineStr">
        <is>
          <t>TI TLV700 pin guidance: 1 uF IN and OUT, EN high enables regulator. https://www.ti.com/product/TLV700</t>
        </is>
      </c>
    </row>
    <row r="13">
      <c r="A13" s="248" t="inlineStr">
        <is>
          <t>MCU VDD decoupling</t>
        </is>
      </c>
      <c r="B13" s="248" t="inlineStr">
        <is>
          <t>C19/C21/C22 are each 1 uF; C18 is 10 uF bulk.</t>
        </is>
      </c>
      <c r="C13" s="248" t="inlineStr">
        <is>
          <t>Per-VDD capacitors should be 100 nF, not 1 uF. Bulk 10 uF is acceptable.</t>
        </is>
      </c>
      <c r="D13" s="248" t="inlineStr">
        <is>
          <t>Change C19, C21, C22 to 100 nF. Keep C18=10 uF (or 4.7 uF). Place one 100 nF at each VDD/VSS pair.</t>
        </is>
      </c>
      <c r="E13" s="248" t="inlineStr">
        <is>
          <t>HIGH</t>
        </is>
      </c>
      <c r="F13" s="248" t="inlineStr">
        <is>
          <t>ST power scheme: n x 100 nF + 1 x 4.7 uF. https://www.st.com/resource/en/datasheet/stm32g474re.pdf</t>
        </is>
      </c>
    </row>
    <row r="14">
      <c r="A14" s="247" t="inlineStr">
        <is>
          <t>VDDA</t>
        </is>
      </c>
      <c r="B14" s="247" t="inlineStr">
        <is>
          <t>C15=1 uF and C16=10 nF from 3V3/VDDA to GND.</t>
        </is>
      </c>
      <c r="C14" s="247" t="inlineStr">
        <is>
          <t>Correct direct-supply decoupling for this design.</t>
        </is>
      </c>
      <c r="D14" s="247" t="inlineStr">
        <is>
          <t>Keep; place close to VDDA/VSSA.</t>
        </is>
      </c>
      <c r="E14" s="247" t="inlineStr">
        <is>
          <t>OK</t>
        </is>
      </c>
      <c r="F14" s="247" t="inlineStr">
        <is>
          <t>ST power scheme shows 10 nF + 1 uF at VDDA. https://www.st.com/resource/en/datasheet/stm32g474re.pdf</t>
        </is>
      </c>
    </row>
    <row r="15">
      <c r="A15" s="248" t="inlineStr">
        <is>
          <t>VREF+</t>
        </is>
      </c>
      <c r="B15" s="248" t="inlineStr">
        <is>
          <t>C13=1 uF and C14=1 uF.</t>
        </is>
      </c>
      <c r="C15" s="248" t="inlineStr">
        <is>
          <t>One capacitor should be 100 nF.</t>
        </is>
      </c>
      <c r="D15" s="248" t="inlineStr">
        <is>
          <t>Keep C13=1 uF and change C14 to 100 nF (or vice versa).</t>
        </is>
      </c>
      <c r="E15" s="248" t="inlineStr">
        <is>
          <t>HIGH</t>
        </is>
      </c>
      <c r="F15" s="248" t="inlineStr">
        <is>
          <t>ST power scheme shows 100 nF + 1 uF at VREF+. https://www.st.com/resource/en/datasheet/stm32g474re.pdf</t>
        </is>
      </c>
    </row>
    <row r="16">
      <c r="A16" s="247" t="inlineStr">
        <is>
          <t>VBAT / BOOT0 / NRST</t>
        </is>
      </c>
      <c r="B16" s="247" t="inlineStr">
        <is>
          <t>VBAT has 100 nF; BOOT0 has 10 kOhm pull-down; NRST has 100 nF and SWD header connection.</t>
        </is>
      </c>
      <c r="C16" s="247" t="inlineStr">
        <is>
          <t>These are correct for the current design.</t>
        </is>
      </c>
      <c r="D16" s="247" t="inlineStr">
        <is>
          <t>Keep.</t>
        </is>
      </c>
      <c r="E16" s="247" t="inlineStr">
        <is>
          <t>OK</t>
        </is>
      </c>
      <c r="F16" s="247" t="inlineStr">
        <is>
          <t>STM32G474 datasheet/reset guidance. https://www.st.com/resource/en/datasheet/stm32g474re.pdf</t>
        </is>
      </c>
    </row>
    <row r="17">
      <c r="A17" s="248" t="inlineStr">
        <is>
          <t>Net aliases</t>
        </is>
      </c>
      <c r="B17" s="248" t="inlineStr">
        <is>
          <t>Current drawing uses connector-side names such as ACC_EN1 and MCU-side names such as ACC_EN1_STM even though the only added component is a shunt 10 kOhm pull-down.</t>
        </is>
      </c>
      <c r="C17" s="248" t="inlineStr">
        <is>
          <t>A pull-down to GND does not split the signal into two nets; the MCU pin and connector pin are still the same electrical node. Two different net labels on one node are ambiguous and cause Altium warnings.</t>
        </is>
      </c>
      <c r="D17" s="248" t="inlineStr">
        <is>
          <t>Use one net name when there is no series element, e.g. ACC_EN1 everywhere. Differentiate MCU-side vs connector-side names only when a series component/buffer/level shifter actually creates two nodes. Use schematic text/comments for visual context if desired.</t>
        </is>
      </c>
      <c r="E17" s="248" t="inlineStr">
        <is>
          <t>HIGH / convention</t>
        </is>
      </c>
      <c r="F17" s="248" t="inlineStr">
        <is>
          <t>This directly addresses the ERC multiple-name warnings.</t>
        </is>
      </c>
    </row>
    <row r="18">
      <c r="A18" s="248" t="inlineStr">
        <is>
          <t>3V3 output-to-power ERC</t>
        </is>
      </c>
      <c r="B18" s="248" t="inlineStr">
        <is>
          <t>Altium flags U2 OUT driving U4 power pins.</t>
        </is>
      </c>
      <c r="C18" s="248" t="inlineStr">
        <is>
          <t>Electrically this is correct: regulator output feeding MCU power pins. The ERC connection matrix is treating Output-to-Power as an error.</t>
        </is>
      </c>
      <c r="D18" s="248" t="inlineStr">
        <is>
          <t>Do not change the circuit. In Project Options -&gt; Connection Matrix/Error Reporting, downgrade Output Pin -&gt; Power Pin conflict to Warning/No Report, or use a project-approved power-net/ERC directive.</t>
        </is>
      </c>
      <c r="E18" s="248" t="inlineStr">
        <is>
          <t>ERC cleanup</t>
        </is>
      </c>
      <c r="F18" s="248" t="inlineStr">
        <is>
          <t>U2 OUT must drive the MCU supply; changing pin types just to silence ERC is less desirable than fixing the ERC rule.</t>
        </is>
      </c>
    </row>
    <row r="19">
      <c r="A19" s="248" t="inlineStr">
        <is>
          <t>Feedback ERC warning</t>
        </is>
      </c>
      <c r="B19" s="248" t="inlineStr">
        <is>
          <t>FB divider net has no driving source.</t>
        </is>
      </c>
      <c r="C19" s="248" t="inlineStr">
        <is>
          <t>Expected for a passive divider feeding an analog input; no active output pin exists on that node.</t>
        </is>
      </c>
      <c r="D19" s="248" t="inlineStr">
        <is>
          <t>After correcting the 5V output node, place a No ERC directive on the FB warning if it remains. Do not add a fake driver.</t>
        </is>
      </c>
      <c r="E19" s="248" t="inlineStr">
        <is>
          <t>ERC cleanup</t>
        </is>
      </c>
      <c r="F19" s="248" t="inlineStr">
        <is>
          <t>Passive analog feedback node is valid by design.</t>
        </is>
      </c>
    </row>
    <row r="20">
      <c r="A20" s="248" t="inlineStr">
        <is>
          <t>Footprint warnings</t>
        </is>
      </c>
      <c r="B20" s="248" t="inlineStr">
        <is>
          <t>C18-C22 have no footprints assigned.</t>
        </is>
      </c>
      <c r="C20" s="248" t="inlineStr">
        <is>
          <t>BOM/PCB transfer will fail or be incomplete until footprints exist.</t>
        </is>
      </c>
      <c r="D20" s="248" t="inlineStr">
        <is>
          <t>Assign footprints to every capacitor/resistor based on the exact selected part. For the new MCU caps, 0603 is a practical default if your assembly process supports it, but the footprint must match the actual manufacturer part.</t>
        </is>
      </c>
      <c r="E20" s="248" t="inlineStr">
        <is>
          <t>HIGH</t>
        </is>
      </c>
      <c r="F20" s="248" t="inlineStr">
        <is>
          <t>Altium compiler warning shown in current project.</t>
        </is>
      </c>
    </row>
    <row r="21">
      <c r="A21" s="246" t="inlineStr">
        <is>
          <t>SOL_GPIO</t>
        </is>
      </c>
      <c r="B21" s="246" t="inlineStr">
        <is>
          <t>PA12 is routed directly to an external connector; no pull-down is visible on this sheet.</t>
        </is>
      </c>
      <c r="C21" s="246" t="inlineStr">
        <is>
          <t>PA12 must not drive a raw solenoid coil. It also benefits from a reset-state pull-down at the driver-control input.</t>
        </is>
      </c>
      <c r="D21" s="246" t="inlineStr">
        <is>
          <t>Add 10 kOhm pull-down to SOL_GPIO. Confirm the external device includes a MOSFET/driver and flyback suppression; otherwise add that hardware on this PCB.</t>
        </is>
      </c>
      <c r="E21" s="246" t="inlineStr">
        <is>
          <t>CRITICAL if raw coil</t>
        </is>
      </c>
      <c r="F21" s="246" t="inlineStr">
        <is>
          <t>MCU GPIO is logic only; inductive loads require a power switch and suppression.</t>
        </is>
      </c>
    </row>
    <row r="22">
      <c r="A22" s="248" t="inlineStr">
        <is>
          <t>Servo power connectors</t>
        </is>
      </c>
      <c r="B22" s="248" t="inlineStr">
        <is>
          <t>Each 6-pin servo header serves two servos with two 6V pins and two GND pins.</t>
        </is>
      </c>
      <c r="C22" s="248" t="inlineStr">
        <is>
          <t>Topology is sensible, but each DS3235 can draw about 2.1 A stalled at 6 V.</t>
        </is>
      </c>
      <c r="D22" s="248" t="inlineStr">
        <is>
          <t>Verify the exact connector/contact current rating, wire gauge, copper width, and 6V-plane current capability. Two servos on one header can approach ~4.2 A at stall.</t>
        </is>
      </c>
      <c r="E22" s="248" t="inlineStr">
        <is>
          <t>HIGH</t>
        </is>
      </c>
      <c r="F22" s="248" t="inlineStr">
        <is>
          <t>Load-current path must be rated independently of the logic design.</t>
        </is>
      </c>
    </row>
    <row r="23" s="58">
      <c r="A23" s="248" t="inlineStr">
        <is>
          <t>Input fuse holder</t>
        </is>
      </c>
      <c r="B23" s="248" t="inlineStr">
        <is>
          <t>Order includes Littelfuse 178.6764.0001 holder and 0297010.WXNV 10 A MINI 32 V fuse.</t>
        </is>
      </c>
      <c r="C23" s="248" t="inlineStr">
        <is>
          <t>The fuse is mechanically/electrically compatible with the holder. Holder rating is 22 A continuous / 30 A max; selected fuse is 10 A fast-acting. Final 10 A sizing still depends on worst-case 12 V system current.</t>
        </is>
      </c>
      <c r="D23" s="248" t="inlineStr">
        <is>
          <t>Keep this holder/fuse pairing. Before release, verify total 12 V current including six servos, Pi/5 V rail, solenoid/pump, and any motor power routed through the board; ensure 10 A provides enough operating margin while protecting wiring/PCB.</t>
        </is>
      </c>
      <c r="E23" s="248" t="inlineStr">
        <is>
          <t>PART CONFIRMED / sizing pending</t>
        </is>
      </c>
      <c r="F23" s="248" t="inlineStr">
        <is>
          <t>Littelfuse holder is rated up to 30 A; protection level comes from the inserted fuse. https://www.littelfuse.com/assetdocs/mini-fl1-datasheet?assetguid=86e3ab08-0473-4acb-98d6-4cf3dbe2f0fa</t>
        </is>
      </c>
    </row>
    <row r="24" s="58">
      <c r="A24" s="248" t="inlineStr">
        <is>
          <t>Micro-Fit 3.0 connectors</t>
        </is>
      </c>
      <c r="B24" s="248" t="inlineStr">
        <is>
          <t>Order: Molex 0430450612, 6-position vertical THT; planned for Pi, SWD, accelerator logic, 3 servo connectors, offboard STM.</t>
        </is>
      </c>
      <c r="C24" s="248" t="inlineStr">
        <is>
          <t>Correct family/geometry. Molex lists 8.5 A max per contact. Two-servo connectors use separate 6 V and GND contacts per servo, so ~2.1 A stall/contact is comfortably below the header maximum, subject to mating terminal/wire derating.</t>
        </is>
      </c>
      <c r="D24" s="248" t="inlineStr">
        <is>
          <t>Keep. Verify mating housing/crimp terminals and wire gauge are also rated appropriately; these mating parts are not present in the uploaded DigiKey order.</t>
        </is>
      </c>
      <c r="E24" s="248" t="inlineStr">
        <is>
          <t>OK / mating parts check</t>
        </is>
      </c>
    </row>
    <row r="25" s="58">
      <c r="A25" s="248" t="inlineStr">
        <is>
          <t>Mini-Fit Jr. 6-position</t>
        </is>
      </c>
      <c r="B25" s="248" t="inlineStr">
        <is>
          <t>Order: Molex 39-28-1063 / 0039281063, vertical THT; planned for 12 V PCB input and solenoid/pump.</t>
        </is>
      </c>
      <c r="C25" s="248" t="inlineStr">
        <is>
          <t>Correct 6-position Mini-Fit Jr. header; Molex lists 9 A max per contact. Parallel contacts on the 12 V input are appropriate if current is shared through equal copper/wiring paths.</t>
        </is>
      </c>
      <c r="D25" s="248" t="inlineStr">
        <is>
          <t>Keep. Confirm solenoid/pump worst-case current and mating terminals/wire gauge.</t>
        </is>
      </c>
      <c r="E25" s="248" t="inlineStr">
        <is>
          <t>OK / load check</t>
        </is>
      </c>
    </row>
    <row r="26" s="58">
      <c r="A26" s="248" t="inlineStr">
        <is>
          <t>Mini-Fit Jr. 8-position</t>
        </is>
      </c>
      <c r="B26" s="248" t="inlineStr">
        <is>
          <t>Order: Molex 39-28-1083 / 0039281083, vertical THT; planned for steering and brake BTS7960.</t>
        </is>
      </c>
      <c r="C26" s="248" t="inlineStr">
        <is>
          <t>Correct 8-position Mini-Fit Jr. header; Molex lists 9 A max per contact. If the single 12 V/GND pair on each connector carries actual motor power, 9 A/contact can become the bottleneck even though the BTS7960 itself can handle much more.</t>
        </is>
      </c>
      <c r="D26" s="248" t="inlineStr">
        <is>
          <t>Confirm whether these 12 V pins carry motor current or only auxiliary/logic power. If motor current flows here, verify motor stall current and consider paralleling contacts or a higher-current power connector if needed.</t>
        </is>
      </c>
      <c r="E26" s="248" t="inlineStr">
        <is>
          <t>HIGH if motor power</t>
        </is>
      </c>
    </row>
    <row r="27" s="58">
      <c r="A27" s="248" t="inlineStr">
        <is>
          <t>24-&gt;12 converter / main input</t>
        </is>
      </c>
      <c r="B27" s="248" t="inlineStr">
        <is>
          <t>WG-24S1230: 12 V, 30 A, 360 W output; factory output wires are AWG12, 16.5 cm.</t>
        </is>
      </c>
      <c r="C27" s="248" t="inlineStr">
        <is>
          <t>Existing 6-pin Mini-Fit Jr. main-input concept relies on parallel contacts and is not the cleanest match to a 30 A-capable source.</t>
        </is>
      </c>
      <c r="D27" s="248" t="inlineStr">
        <is>
          <t>Use a dedicated high-current 2-pole connector or direct power termination. Mega-Fit 2-circuit with 12 AWG terminals is a strong fit. Keep Mini-Fit Jr. for the lower-current branch connectors.</t>
        </is>
      </c>
      <c r="E27" s="248" t="inlineStr">
        <is>
          <t>HIGH</t>
        </is>
      </c>
      <c r="F27" s="227" t="inlineStr">
        <is>
          <t>https://www.molex.com/mega-fit; https://www.ato.com/</t>
        </is>
      </c>
    </row>
    <row r="28" ht="60" customHeight="1" s="58">
      <c r="A28" s="247" t="inlineStr">
        <is>
          <t>Solenoid driver topology</t>
        </is>
      </c>
      <c r="B28" s="247" t="inlineStr">
        <is>
          <t>External board: STM32 control -&gt; 220 Ohm gate resistor -&gt; IRLZ44N gate; 10 kOhm gate pulldown; low-side MOSFET; flyback diode across 12 V solenoid.</t>
        </is>
      </c>
      <c r="C28" s="247" t="inlineStr">
        <is>
          <t>Topology and diode polarity are correct for a low-side inductive-load switch.</t>
        </is>
      </c>
      <c r="D28" s="247" t="inlineStr">
        <is>
          <t>Keep R3=220 Ohm and R4=10 kOhm. Put the gate pulldown physically at the MOSFET. If the main PCB also has a 10 kOhm SOL_GPIO pulldown, the pair becomes 5 kOhm effective and is harmless but redundant.</t>
        </is>
      </c>
      <c r="E28" s="247" t="inlineStr">
        <is>
          <t>OK / refine</t>
        </is>
      </c>
      <c r="F28" s="247" t="inlineStr">
        <is>
          <t>User-provided external circuit; solenoid is 20 W at 12 V -&gt; 1.67 A.</t>
        </is>
      </c>
    </row>
    <row r="29" ht="60" customHeight="1" s="58">
      <c r="A29" s="248" t="inlineStr">
        <is>
          <t>Solenoid flyback diode</t>
        </is>
      </c>
      <c r="B29" s="248" t="inlineStr">
        <is>
          <t>D2 is currently 1N4001.</t>
        </is>
      </c>
      <c r="C29" s="248" t="inlineStr">
        <is>
          <t>At switch-off, initial flyback current is approximately the coil current: I = P/V = 20/12 = 1.67 A. 1N4001 is a 1 A average rectifier, so design margin is poor.</t>
        </is>
      </c>
      <c r="D29" s="248" t="inlineStr">
        <is>
          <t>Replace D2 with a &gt;=3 A diode. A 5 A / 60 V Schottky such as SB560-E3/54 is a robust through-hole choice. Cathode to +12 V; anode to MOSFET drain/coil low side.</t>
        </is>
      </c>
      <c r="E29" s="248" t="inlineStr">
        <is>
          <t>HIGH</t>
        </is>
      </c>
      <c r="F29" s="248" t="inlineStr">
        <is>
          <t>https://www.digikey.com/en/products/detail/vishay-general-semiconductor-diodes-division/SB560-E3-54/1023532</t>
        </is>
      </c>
    </row>
    <row r="30" ht="60" customHeight="1" s="58">
      <c r="A30" s="248" t="inlineStr">
        <is>
          <t>Solenoid MOSFET gate drive</t>
        </is>
      </c>
      <c r="B30" s="248" t="inlineStr">
        <is>
          <t>Q2 is IRLZ44N driven directly by 3.3 V STM32 GPIO.</t>
        </is>
      </c>
      <c r="C30" s="248" t="inlineStr">
        <is>
          <t>IRLZ44N is logic-level, but its guaranteed RDS(on) values are specified at 4 V/5 V/10 V, not 3.3 V. At only 1.67 A it will likely run cool, but 3.3 V conduction is not guaranteed by the RDS(on) table.</t>
        </is>
      </c>
      <c r="D30" s="248" t="inlineStr">
        <is>
          <t>Prototype use is reasonable if already built; for a final robust design either verify VDS/temperature at worst case or choose a MOSFET characterized at &lt;=2.5-3.3 V gate drive / use a gate driver.</t>
        </is>
      </c>
      <c r="E30" s="248" t="inlineStr">
        <is>
          <t>CHECK</t>
        </is>
      </c>
      <c r="F30" s="248" t="inlineStr">
        <is>
          <t>https://www.infineon.com/assets/row/public/documents/24/49/infineon-irlz44n-datasheet-en.pdf</t>
        </is>
      </c>
    </row>
    <row r="31" ht="60" customHeight="1" s="58">
      <c r="A31" s="248" t="inlineStr">
        <is>
          <t>Pump control path</t>
        </is>
      </c>
      <c r="B31" s="248" t="inlineStr">
        <is>
          <t>Reconfigured 6-pin connector provides a dedicated 12 V/GND pair for pump plus 12 V/GND/SOL_GPIO for the external solenoid driver.</t>
        </is>
      </c>
      <c r="C31" s="248" t="inlineStr">
        <is>
          <t>This is electrically clean if the pump is intended to run whenever that 12 V branch is powered.</t>
        </is>
      </c>
      <c r="D31" s="248" t="inlineStr">
        <is>
          <t>If MCU on/off control of the 5 A pump is required, add a separate PUMP_GPIO and a second MOSFET/relay channel sized for &gt;=5 A plus motor transient suppression. The shown IRLZ44N circuit only controls the solenoid.</t>
        </is>
      </c>
      <c r="E31" s="248" t="inlineStr">
        <is>
          <t>CONFIRM FUNCTION</t>
        </is>
      </c>
      <c r="F31" s="248" t="inlineStr">
        <is>
          <t>User-provided connector + system block diagram.</t>
        </is>
      </c>
    </row>
    <row r="32" ht="60" customHeight="1" s="58">
      <c r="A32" s="248" t="inlineStr">
        <is>
          <t>Main input connector exact parts</t>
        </is>
      </c>
      <c r="B32" s="248" t="inlineStr">
        <is>
          <t>Mega-Fit 0768290002/768290002 selected for PCB.</t>
        </is>
      </c>
      <c r="C32" s="248" t="inlineStr">
        <is>
          <t>Correct: this is the vertical THT male PCB header. The mating cable side is separate.</t>
        </is>
      </c>
      <c r="D32" s="248" t="inlineStr">
        <is>
          <t>Use 1716920202 receptacle housing and 768230343 female 12 AWG crimp terminals. Use 20 A MINI fuse 0297020.WXNV in existing holder.</t>
        </is>
      </c>
      <c r="E32" s="248" t="inlineStr">
        <is>
          <t>BUY / UPDATE SCHEMATIC</t>
        </is>
      </c>
      <c r="F32" s="248" t="inlineStr">
        <is>
          <t>https://www.molex.com/en-us/products/series-chart/76829; https://www.molex.com/en-us/products/series-chart/171692; https://www.molex.com/en-us/products/series-chart/76823; https://www.digikey.com/en/products/detail/littelfuse-inc/0297020-WXNV/146599</t>
        </is>
      </c>
    </row>
    <row r="33" ht="60" customHeight="1" s="58">
      <c r="A33" s="248" t="inlineStr">
        <is>
          <t>RECOMMENDED</t>
        </is>
      </c>
      <c r="B33" s="248" t="inlineStr">
        <is>
          <t>Solenoid/pump/modem 6-pin allocation</t>
        </is>
      </c>
      <c r="C33" s="248" t="inlineStr">
        <is>
          <t>The branch now serves three independent 12 V loads: pump, solenoid driver/valve, and modem.</t>
        </is>
      </c>
      <c r="D33" s="248" t="inlineStr">
        <is>
          <t>Preferred pinout is three separate 12 V/GND pairs. A single shared ground would carry at least pump 5 A + solenoid 1.67 A + modem current, increasing contact heating and shared-return voltage drop/noise. Move SOL_GPIO elsewhere or change this branch to an 8-position connector and keep SOL_GPIO plus one spare/PUMP_GPIO.</t>
        </is>
      </c>
      <c r="E33" s="248" t="inlineStr">
        <is>
          <t>User architecture clarification; Mini-Fit current ratings are per contact and application dependent.</t>
        </is>
      </c>
      <c r="F33" s="248" t="inlineStr">
        <is>
          <t>https://www.molex.com/content/dam/molex/molex-dot-com/products/automated/en-us/productspecificationpdf/438/43879/PS-43879-001-001.pdf</t>
        </is>
      </c>
    </row>
    <row r="34" ht="60" customHeight="1" s="58">
      <c r="A34" s="248" t="inlineStr">
        <is>
          <t>KEEP SUPPRESSION</t>
        </is>
      </c>
      <c r="B34" s="248" t="inlineStr">
        <is>
          <t>Solenoid flyback protection</t>
        </is>
      </c>
      <c r="C34" s="248" t="inlineStr">
        <is>
          <t>The external MOSFET schematic already includes D2 across the solenoid coil. The connector schematic should not show the diode because it is part of the external driver/load circuit, not the connector itself.</t>
        </is>
      </c>
      <c r="D34" s="248" t="inlineStr">
        <is>
          <t>Keep a flyback diode or equivalent clamp unless the valve assembly explicitly documents built-in suppression. The valve manual does not document an internal suppression diode. A two-wire valve that is non-polarized should not be assumed to contain a conventional unidirectional flyback diode.</t>
        </is>
      </c>
      <c r="E34" s="248" t="inlineStr">
        <is>
          <t>Inductive-current relation V=L*di/dt: interrupting ~1.67 A coil current without a clamp can generate a large drain-voltage spike.</t>
        </is>
      </c>
      <c r="F34" s="248" t="inlineStr">
        <is>
          <t>Uploaded U.S. Solid valve manual; user-provided external MOSFET schematic</t>
        </is>
      </c>
    </row>
    <row r="35">
      <c r="A35" s="248" t="inlineStr">
        <is>
          <t>CONFIRMED</t>
        </is>
      </c>
      <c r="B35" s="248" t="inlineStr">
        <is>
          <t>Main-input cart check</t>
        </is>
      </c>
      <c r="C35" s="248" t="inlineStr">
        <is>
          <t>Cart shows Molex 0768290002 PCB Mega-Fit header, Molex 1716920202 2-pos receptacle housing, and Littelfuse 0297020.WXNV 20 A MINI fuse.</t>
        </is>
      </c>
      <c r="D35" s="248" t="inlineStr">
        <is>
          <t>These are the intended main 12 V PCB connector/housing/fuse parts. Crimp terminals and bulk wire can be purchased later after harness lengths are known.</t>
        </is>
      </c>
      <c r="E35" s="248" t="inlineStr">
        <is>
          <t>READY TO ORDER</t>
        </is>
      </c>
      <c r="F35" s="248" t="inlineStr">
        <is>
          <t>User cart screenshot</t>
        </is>
      </c>
    </row>
    <row r="36">
      <c r="A36" s="248" t="inlineStr">
        <is>
          <t>Supply net naming</t>
        </is>
      </c>
      <c r="B36" s="248" t="inlineStr">
        <is>
          <t>3V3 rail is also labeled VBAT, VDD1, VDD2, and VDD3 at points that are physically the same conductor.</t>
        </is>
      </c>
      <c r="C36" s="248" t="inlineStr">
        <is>
          <t>These are not separate nets if they are hard-wired together; multiple labels on one wire generate Altium multiple-net-name warnings.</t>
        </is>
      </c>
      <c r="D36" s="248" t="inlineStr">
        <is>
          <t>Use 3V3 as the sole net label. Identify each local capacitor by reference/design note instead: C19=U4 VDD pin 24, C21=U4 VDD pin 36, C22=U4 VDD pin 48, C17=VBAT decoupling.</t>
        </is>
      </c>
      <c r="E36" s="248" t="inlineStr">
        <is>
          <t>MEDIUM</t>
        </is>
      </c>
      <c r="F36" s="248" t="inlineStr">
        <is>
          <t>Net names should represent electrical nodes. Component reference designators and nearby text should identify which supply pin a decoupler belongs to.</t>
        </is>
      </c>
    </row>
    <row r="37" s="58">
      <c r="A37" s="248" t="inlineStr">
        <is>
          <t>Signal net naming around pull-downs</t>
        </is>
      </c>
      <c r="B37" s="248" t="inlineStr">
        <is>
          <t>Signals such as ACC_EN1 and ACC_EN1_STM are placed on the same continuous wire with a 10 kOhm pull-down branch to GND.</t>
        </is>
      </c>
      <c r="C37" s="248" t="inlineStr">
        <is>
          <t>The pull-down does not create a second signal node; the STM pin, resistor top, and connector pin are one net.</t>
        </is>
      </c>
      <c r="D37" s="248" t="inlineStr">
        <is>
          <t>Delete the duplicate *_STM label and use one signal name end-to-end. Use separate *_MCU/_CONN names only if a series element/buffer/isolator actually separates the nodes.</t>
        </is>
      </c>
      <c r="E37" s="248" t="inlineStr">
        <is>
          <t>MEDIUM</t>
        </is>
      </c>
      <c r="F37" s="248" t="inlineStr">
        <is>
          <t>This clears the multiple-net-name warnings while preserving professional schematic readability.</t>
        </is>
      </c>
    </row>
    <row r="38" s="58">
      <c r="A38" s="248" t="inlineStr">
        <is>
          <t>READABILITY</t>
        </is>
      </c>
      <c r="B38" s="248" t="inlineStr">
        <is>
          <t>Sheet organization</t>
        </is>
      </c>
      <c r="C38" s="248" t="inlineStr">
        <is>
          <t>Use descriptive sheet/file names and a clear left-to-right functional flow: Power Regulation, Connectors &amp; Interfaces, MCU &amp; Control.</t>
        </is>
      </c>
      <c r="D38" s="248" t="inlineStr">
        <is>
          <t>Keep power flowing left-to-right/top-to-bottom and group related circuits with whitespace or section labels. Rename generic files such as schem1.SchDoc to a descriptive name before release.</t>
        </is>
      </c>
      <c r="E38" s="248" t="inlineStr">
        <is>
          <t>RECOMMENDED</t>
        </is>
      </c>
      <c r="F38" s="248" t="inlineStr">
        <is>
          <t>Schematic documentation practice</t>
        </is>
      </c>
    </row>
    <row r="39" s="58">
      <c r="A39" s="248" t="inlineStr">
        <is>
          <t>READABILITY</t>
        </is>
      </c>
      <c r="B39" s="248" t="inlineStr">
        <is>
          <t>Cross-sheet signals</t>
        </is>
      </c>
      <c r="C39" s="248" t="inlineStr">
        <is>
          <t>Repeated global net labels work electrically, but can make sheet-to-sheet interfaces harder to follow.</t>
        </is>
      </c>
      <c r="D39" s="248" t="inlineStr">
        <is>
          <t>For signals that intentionally cross sheets, consider Altium Ports (or hierarchical sheet entries if you later make the design hierarchical). Keep local net labels for nets that stay on one sheet.</t>
        </is>
      </c>
      <c r="E39" s="248" t="inlineStr">
        <is>
          <t>OPTIONAL</t>
        </is>
      </c>
      <c r="F39" s="248" t="inlineStr">
        <is>
          <t>Improves traceability without changing circuit function.</t>
        </is>
      </c>
    </row>
    <row r="40" s="58">
      <c r="A40" s="248" t="inlineStr">
        <is>
          <t>READABILITY</t>
        </is>
      </c>
      <c r="B40" s="248" t="inlineStr">
        <is>
          <t>Connector documentation</t>
        </is>
      </c>
      <c r="C40" s="248" t="inlineStr">
        <is>
          <t>Connector symbols show the physical pin order, but reviewers benefit from immediately seeing destination and function.</t>
        </is>
      </c>
      <c r="D40" s="248" t="inlineStr">
        <is>
          <t>Keep physical pin numbers visible; add concise notes such as "To Pi", "To steering BTS7960", or a small pin-function table next to high-value connectors. Keep one signal name per electrical node.</t>
        </is>
      </c>
      <c r="E40" s="248" t="inlineStr">
        <is>
          <t>RECOMMENDED</t>
        </is>
      </c>
      <c r="F40" s="248" t="inlineStr">
        <is>
          <t>Especially useful for harness build and troubleshooting.</t>
        </is>
      </c>
    </row>
    <row r="41" s="58">
      <c r="A41" s="248" t="inlineStr">
        <is>
          <t>READABILITY</t>
        </is>
      </c>
      <c r="B41" s="248" t="inlineStr">
        <is>
          <t>MCU decoupling identification</t>
        </is>
      </c>
      <c r="C41" s="248" t="inlineStr">
        <is>
          <t>All VDD/VBAT decouplers share the 3V3 net, so the net name should not be used to identify which capacitor belongs to which MCU pin.</t>
        </is>
      </c>
      <c r="D41" s="248" t="inlineStr">
        <is>
          <t>Place each decoupler near the related MCU supply pin on the schematic or add a small note: C19=VDD24, C21=VDD36, C22=VDD48, C17=VBAT. Keep the electrical net name 3V3.</t>
        </is>
      </c>
      <c r="E41" s="248" t="inlineStr">
        <is>
          <t>RECOMMENDED</t>
        </is>
      </c>
      <c r="F41" s="248" t="inlineStr">
        <is>
          <t>Preserves correct net naming while making intent obvious.</t>
        </is>
      </c>
    </row>
    <row r="42" s="58">
      <c r="A42" s="248" t="inlineStr">
        <is>
          <t>READABILITY</t>
        </is>
      </c>
      <c r="B42" s="248" t="inlineStr">
        <is>
          <t>Final documentation cleanup</t>
        </is>
      </c>
      <c r="C42" s="248" t="inlineStr">
        <is>
          <t>Zero ERC warnings/errors achieved after net-name cleanup and intentional ERC suppression on analog/power-generation nodes.</t>
        </is>
      </c>
      <c r="D42" s="248" t="inlineStr">
        <is>
          <t>Before PCB layout: add No Connect markers to intentionally unused pins, ensure every connector has a unique J designator plus descriptive Comment, fill title blocks, and add short functional labels around the 5V buck, 6V converter, 3V3 LDO, MCU, and connector groups.</t>
        </is>
      </c>
      <c r="E42" s="248" t="inlineStr">
        <is>
          <t>RECOMMENDED</t>
        </is>
      </c>
      <c r="F42" s="248" t="inlineStr">
        <is>
          <t>Makes the release schematic easier to review and maintain.</t>
        </is>
      </c>
    </row>
    <row r="43">
      <c r="A43" s="248" t="inlineStr">
        <is>
          <t>READABILITY</t>
        </is>
      </c>
      <c r="B43" s="248" t="inlineStr">
        <is>
          <t>Connector annotation</t>
        </is>
      </c>
      <c r="C43" s="248" t="inlineStr">
        <is>
          <t>Use the component Designator field J? for every PCB connector/header that has not yet been numbered; use the Comment/Description field for the functional name such as MAIN_12V_IN, PI4, SWD, ACCEL_BTS7960, SERVO_1_2, etc.</t>
        </is>
      </c>
      <c r="D43" s="248" t="inlineStr">
        <is>
          <t>Run Altium Tools &gt; Annotation &gt; Annotate Schematics to assign unique J1, J2, ... designators automatically across the project. Do not use descriptive functional names as the designator; keep those as comments/parameters so annotation can safely renumber connectors.</t>
        </is>
      </c>
      <c r="E43" s="248" t="inlineStr">
        <is>
          <t>RECOMMENDED</t>
        </is>
      </c>
      <c r="F43" s="248" t="inlineStr">
        <is>
          <t>Professional schematic convention: J# identifies the physical connector; the Comment/parameter identifies its purpose.</t>
        </is>
      </c>
    </row>
    <row r="44">
      <c r="A44" s="248" t="inlineStr">
        <is>
          <t>PACKAGING</t>
        </is>
      </c>
      <c r="B44" s="248" t="inlineStr">
        <is>
          <t>Socket / through-hole substitution review</t>
        </is>
      </c>
      <c r="C44" s="248" t="inlineStr">
        <is>
          <t>TLV70033DDCR is SOT-23-5, LMR51450FSQDRRRQ1 is 12-pin 3x3 mm WSON, and STM32G474CBT6TR is 48-pin 7x7 mm LQFP; none are PLCC packages.</t>
        </is>
      </c>
      <c r="D44" s="248" t="inlineStr">
        <is>
          <t>Do not use PLCC sockets. Specialized SOT-23-5 and LQFP48 test sockets exist, and generic QFN/WSON test sockets exist, but direct soldering is recommended for the final PCB. In particular, keep the LMR51450 directly soldered because its high-current/high-frequency switching loop and exposed thermal/ground pad depend on a low-inductance PCB connection.</t>
        </is>
      </c>
      <c r="E44" s="248" t="inlineStr">
        <is>
          <t>RECOMMENDED</t>
        </is>
      </c>
      <c r="F44" s="248" t="inlineStr">
        <is>
          <t>If removable prototyping is needed, use a test socket or SMD-to-DIP adapter only on a prototype/daughterboard. Avoid sockets in the vehicle/final assembly because of size, cost, vibration, parasitics, and contact reliability.</t>
        </is>
      </c>
    </row>
  </sheetData>
  <autoFilter ref="A3:F23"/>
  <mergeCells count="1">
    <mergeCell ref="A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0"/>
  <sheetViews>
    <sheetView showGridLines="0" workbookViewId="0">
      <pane ySplit="3" topLeftCell="A4" activePane="bottomLeft" state="frozen"/>
      <selection pane="bottomLeft" activeCell="A1" sqref="A1"/>
    </sheetView>
  </sheetViews>
  <sheetFormatPr baseColWidth="8" defaultRowHeight="15"/>
  <cols>
    <col width="34" customWidth="1" style="58" min="1" max="1"/>
    <col width="12" customWidth="1" style="58" min="2" max="2"/>
    <col width="20" customWidth="1" style="58" min="3" max="3"/>
    <col width="12" customWidth="1" style="58" min="4" max="4"/>
    <col width="22" customWidth="1" style="58" min="5" max="5"/>
    <col width="24" customWidth="1" style="58" min="6" max="6"/>
    <col width="65" customWidth="1" style="58" min="7" max="7"/>
    <col width="55" customWidth="1" style="58" min="8" max="8"/>
  </cols>
  <sheetData>
    <row r="1">
      <c r="A1" s="249" t="inlineStr">
        <is>
          <t>12 V Rail / Connector Current Budget</t>
        </is>
      </c>
      <c r="B1" s="227" t="n"/>
      <c r="C1" s="227" t="n"/>
      <c r="D1" s="227" t="n"/>
      <c r="E1" s="227" t="n"/>
      <c r="F1" s="227" t="n"/>
      <c r="G1" s="227" t="n"/>
      <c r="H1" s="227" t="n"/>
    </row>
    <row r="3" ht="30" customHeight="1" s="58">
      <c r="A3" s="250" t="inlineStr">
        <is>
          <t>Load / Case</t>
        </is>
      </c>
      <c r="B3" s="250" t="inlineStr">
        <is>
          <t>Voltage (V)</t>
        </is>
      </c>
      <c r="C3" s="250" t="inlineStr">
        <is>
          <t>Power / Current Input</t>
        </is>
      </c>
      <c r="D3" s="250" t="inlineStr">
        <is>
          <t>Efficiency</t>
        </is>
      </c>
      <c r="E3" s="250" t="inlineStr">
        <is>
          <t>Calculated 12 V Current (A)</t>
        </is>
      </c>
      <c r="F3" s="250" t="inlineStr">
        <is>
          <t>Design Case</t>
        </is>
      </c>
      <c r="G3" s="250" t="inlineStr">
        <is>
          <t>Notes</t>
        </is>
      </c>
      <c r="H3" s="250" t="inlineStr">
        <is>
          <t>Source</t>
        </is>
      </c>
    </row>
    <row r="4" ht="30" customHeight="1" s="58">
      <c r="A4" s="115" t="inlineStr">
        <is>
          <t>Water pump</t>
        </is>
      </c>
      <c r="B4" s="251" t="n">
        <v>12</v>
      </c>
      <c r="C4" s="251" t="n">
        <v>60</v>
      </c>
      <c r="D4" s="115" t="n"/>
      <c r="E4" s="115">
        <f>C4/B4</f>
        <v/>
      </c>
      <c r="F4" s="115" t="inlineStr">
        <is>
          <t>Running</t>
        </is>
      </c>
      <c r="G4" s="115" t="inlineStr">
        <is>
          <t>60 W at 12 V -&gt; I=P/V = 60/12 = 5 A</t>
        </is>
      </c>
      <c r="H4" s="115" t="inlineStr">
        <is>
          <t>User-supplied pump screenshot (bayite BYT-7A108)</t>
        </is>
      </c>
    </row>
    <row r="5" ht="30" customHeight="1" s="58">
      <c r="A5" s="115" t="inlineStr">
        <is>
          <t>Solenoid valve</t>
        </is>
      </c>
      <c r="B5" s="251" t="n">
        <v>12</v>
      </c>
      <c r="C5" s="251" t="n">
        <v>20</v>
      </c>
      <c r="D5" s="115" t="n"/>
      <c r="E5" s="115">
        <f>C5/B5</f>
        <v/>
      </c>
      <c r="F5" s="115" t="inlineStr">
        <is>
          <t>Energized</t>
        </is>
      </c>
      <c r="G5" s="115" t="inlineStr">
        <is>
          <t>20 W at 12 V -&gt; I=P/V = 20/12 = 1.67 A</t>
        </is>
      </c>
      <c r="H5" s="115" t="inlineStr">
        <is>
          <t>User-supplied U.S. Solid screenshot</t>
        </is>
      </c>
    </row>
    <row r="6" ht="30" customHeight="1" s="58">
      <c r="A6" s="115" t="inlineStr">
        <is>
          <t>Brake actuator</t>
        </is>
      </c>
      <c r="B6" s="251" t="n">
        <v>12</v>
      </c>
      <c r="C6" s="251" t="n">
        <v>0.24</v>
      </c>
      <c r="D6" s="115" t="n"/>
      <c r="E6" s="115">
        <f>C6</f>
        <v/>
      </c>
      <c r="F6" s="115" t="inlineStr">
        <is>
          <t>Full load</t>
        </is>
      </c>
      <c r="G6" s="115" t="inlineStr">
        <is>
          <t>Datasheet gives 0.24 A at full load</t>
        </is>
      </c>
      <c r="H6" s="115" t="inlineStr">
        <is>
          <t>Uploaded brake_actuator.pdf</t>
        </is>
      </c>
    </row>
    <row r="7" ht="30" customHeight="1" s="58">
      <c r="A7" s="115" t="inlineStr">
        <is>
          <t>Steering actuator</t>
        </is>
      </c>
      <c r="B7" s="251" t="n">
        <v>12</v>
      </c>
      <c r="C7" s="251" t="n">
        <v>3.2</v>
      </c>
      <c r="D7" s="115" t="n"/>
      <c r="E7" s="115">
        <f>C7</f>
        <v/>
      </c>
      <c r="F7" s="115" t="inlineStr">
        <is>
          <t>Max rated dynamic load</t>
        </is>
      </c>
      <c r="G7" s="115" t="inlineStr">
        <is>
          <t>LACT6P-12V-05 current reaches about 3.2 A at rated load</t>
        </is>
      </c>
      <c r="H7" s="115" t="inlineStr">
        <is>
          <t>Uploaded linear_actuator.pdf</t>
        </is>
      </c>
    </row>
    <row r="8" ht="30" customHeight="1" s="58">
      <c r="A8" s="115" t="inlineStr">
        <is>
          <t>Steering actuator</t>
        </is>
      </c>
      <c r="B8" s="251" t="n">
        <v>12</v>
      </c>
      <c r="C8" s="251" t="n">
        <v>7</v>
      </c>
      <c r="D8" s="115" t="n"/>
      <c r="E8" s="115">
        <f>C8</f>
        <v/>
      </c>
      <c r="F8" s="115" t="inlineStr">
        <is>
          <t>Stall / startup stress</t>
        </is>
      </c>
      <c r="G8" s="115" t="inlineStr">
        <is>
          <t>Datasheet states 7 A stall; brief starts/reversals can approach stall current</t>
        </is>
      </c>
      <c r="H8" s="115" t="inlineStr">
        <is>
          <t>Uploaded linear_actuator.pdf</t>
        </is>
      </c>
    </row>
    <row r="9" ht="30" customHeight="1" s="58">
      <c r="A9" s="115" t="inlineStr">
        <is>
          <t>Six DS3235 servos</t>
        </is>
      </c>
      <c r="B9" s="251" t="n">
        <v>6</v>
      </c>
      <c r="C9" s="251" t="n">
        <v>75.59999999999999</v>
      </c>
      <c r="D9" s="251" t="n">
        <v>0.95</v>
      </c>
      <c r="E9" s="115">
        <f>C9/(12*D9)</f>
        <v/>
      </c>
      <c r="F9" s="115" t="inlineStr">
        <is>
          <t>All 6 at 2.1 A stall</t>
        </is>
      </c>
      <c r="G9" s="115" t="inlineStr">
        <is>
          <t>6 x 2.1 A x 6 V = 75.6 W; 12 V input current = Pout/(Vin x efficiency)</t>
        </is>
      </c>
      <c r="H9" s="115" t="inlineStr">
        <is>
          <t>DS3235 servo spec previously supplied; NSR020 efficiency assumption 95% for budgeting</t>
        </is>
      </c>
    </row>
    <row r="10" ht="30" customHeight="1" s="58">
      <c r="A10" s="115" t="inlineStr">
        <is>
          <t>5 V rail (Pi + logic)</t>
        </is>
      </c>
      <c r="B10" s="251" t="n">
        <v>5</v>
      </c>
      <c r="C10" s="115" t="n"/>
      <c r="D10" s="115" t="n"/>
      <c r="E10" s="115" t="n"/>
      <c r="F10" s="115" t="inlineStr">
        <is>
          <t>TBD</t>
        </is>
      </c>
      <c r="G10" s="115" t="inlineStr">
        <is>
          <t>Not included in totals below. Add actual 5 V power divided by 12 V and buck efficiency.</t>
        </is>
      </c>
      <c r="H10" s="115" t="inlineStr">
        <is>
          <t>Pending final 5 V load budget</t>
        </is>
      </c>
    </row>
    <row r="11" ht="30" customHeight="1" s="58">
      <c r="A11" s="115" t="inlineStr">
        <is>
          <t>Acceleration motor</t>
        </is>
      </c>
      <c r="B11" s="251" t="n">
        <v>24</v>
      </c>
      <c r="C11" s="115" t="n"/>
      <c r="D11" s="115" t="n"/>
      <c r="E11" s="251" t="n">
        <v>0</v>
      </c>
      <c r="F11" s="115" t="inlineStr">
        <is>
          <t>External 24 V branch</t>
        </is>
      </c>
      <c r="G11" s="115" t="inlineStr">
        <is>
          <t>Powered directly from 24 V battery, so it is NOT in the PCB 12 V fuse/current budget. It needs separate branch protection.</t>
        </is>
      </c>
      <c r="H11" s="115" t="inlineStr">
        <is>
          <t>User architecture clarification</t>
        </is>
      </c>
    </row>
    <row r="12" ht="30" customHeight="1" s="58">
      <c r="A12" s="225" t="inlineStr">
        <is>
          <t>24-&gt;12 converter</t>
        </is>
      </c>
      <c r="B12" s="254" t="n">
        <v>12</v>
      </c>
      <c r="C12" s="225" t="n">
        <v>30</v>
      </c>
      <c r="D12" s="225" t="n">
        <v>0.96</v>
      </c>
      <c r="E12" s="254" t="n">
        <v>30</v>
      </c>
      <c r="F12" s="225" t="inlineStr">
        <is>
          <t>Converter maximum output</t>
        </is>
      </c>
      <c r="G12" s="225" t="inlineStr">
        <is>
          <t>WG-24S1230 is rated 12 V, 30 A, 360 W output at 96% typical efficiency. Output leads are factory AWG12, 16.5 cm long.</t>
        </is>
      </c>
      <c r="H12" s="225" t="inlineStr">
        <is>
          <t>Uploaded ATOWG-24S1230-DC-DC-converter.pdf; https://www.ato.com/</t>
        </is>
      </c>
    </row>
    <row r="13" ht="30" customHeight="1" s="58">
      <c r="A13" s="225" t="inlineStr">
        <is>
          <t>5 V rail conservative max</t>
        </is>
      </c>
      <c r="B13" s="254" t="n">
        <v>5</v>
      </c>
      <c r="C13" s="225" t="n">
        <v>25</v>
      </c>
      <c r="D13" s="225" t="n">
        <v>0.9</v>
      </c>
      <c r="E13" s="254">
        <f>C13/(12*D13)</f>
        <v/>
      </c>
      <c r="F13" s="225" t="inlineStr">
        <is>
          <t>Buck at full 5 A capability</t>
        </is>
      </c>
      <c r="G13" s="225" t="inlineStr">
        <is>
          <t>Conservative branch bound: 5 V x 5 A = 25 W; at 90% efficiency, 12 V input current = 25/(12 x 0.90) = 2.31 A. Actual Pi/logic load should be measured and will likely be lower.</t>
        </is>
      </c>
      <c r="H13" s="225" t="inlineStr">
        <is>
          <t>LMR51450 5 A design capability; conservative budgeting assumption</t>
        </is>
      </c>
    </row>
    <row r="14" ht="30" customHeight="1" s="58">
      <c r="A14" s="225" t="n"/>
    </row>
    <row r="15" ht="30" customHeight="1" s="58">
      <c r="A15" s="115" t="n"/>
      <c r="B15" s="115" t="n"/>
      <c r="C15" s="115" t="n"/>
      <c r="D15" s="115" t="n"/>
      <c r="E15" s="115" t="n"/>
      <c r="F15" s="115" t="n"/>
      <c r="G15" s="115" t="n"/>
      <c r="H15" s="115" t="n"/>
    </row>
    <row r="16" ht="30" customHeight="1" s="58">
      <c r="A16" s="252" t="inlineStr">
        <is>
          <t>Stress-case totals</t>
        </is>
      </c>
      <c r="B16" s="227" t="n"/>
      <c r="C16" s="227" t="n"/>
      <c r="D16" s="227" t="n"/>
      <c r="E16" s="227" t="n"/>
      <c r="F16" s="227" t="n"/>
      <c r="G16" s="227" t="n"/>
      <c r="H16" s="227" t="n"/>
    </row>
    <row r="17" ht="30" customHeight="1" s="58">
      <c r="A17" s="115" t="inlineStr">
        <is>
          <t>Pump + solenoid + brake + steering rated + all 6 servos stalled</t>
        </is>
      </c>
      <c r="B17" s="115" t="n"/>
      <c r="C17" s="115" t="n"/>
      <c r="D17" s="115" t="n"/>
      <c r="E17" s="115">
        <f>E4+E5+E6+E7+E9</f>
        <v/>
      </c>
      <c r="F17" s="115" t="n"/>
      <c r="G17" s="115" t="inlineStr">
        <is>
          <t>High-load simultaneous case excluding the 5 V rail.</t>
        </is>
      </c>
      <c r="H17" s="115" t="n"/>
    </row>
    <row r="18" ht="30" customHeight="1" s="58">
      <c r="A18" s="225" t="inlineStr">
        <is>
          <t>Pump + solenoid + brake + steering stalled + all 6 servos stalled</t>
        </is>
      </c>
      <c r="E18">
        <f>E4+E5+E6+E8+E9</f>
        <v/>
      </c>
    </row>
    <row r="19" ht="30" customHeight="1" s="58">
      <c r="A19" s="225" t="inlineStr">
        <is>
          <t>Rated steering case + conservative full 5 V rail</t>
        </is>
      </c>
      <c r="B19" s="225" t="n"/>
      <c r="C19" s="225" t="n"/>
      <c r="D19" s="225" t="n"/>
      <c r="E19" s="225">
        <f>E17+E13</f>
        <v/>
      </c>
      <c r="F19" s="225" t="n"/>
      <c r="G19" s="225" t="inlineStr">
        <is>
          <t>Adds the conservative 2.31 A 5 V-buck input bound. Approximate total is 19.05 A.</t>
        </is>
      </c>
      <c r="H19" s="225" t="n"/>
    </row>
    <row r="20" ht="30" customHeight="1" s="58">
      <c r="A20" s="225" t="inlineStr">
        <is>
          <t>Steering-stall case + conservative full 5 V rail</t>
        </is>
      </c>
      <c r="B20" s="225" t="n"/>
      <c r="C20" s="225" t="n"/>
      <c r="D20" s="225" t="n"/>
      <c r="E20" s="225">
        <f>E18+E13</f>
        <v/>
      </c>
      <c r="F20" s="225" t="n"/>
      <c r="G20" s="225" t="inlineStr">
        <is>
          <t>Extreme stress case with steering stall, all six servos stalled, pump/solenoid/brake active, and 5 V buck at full 5 A output. Approximate total is 22.85 A.</t>
        </is>
      </c>
      <c r="H20" s="225" t="n"/>
    </row>
    <row r="21" ht="30" customHeight="1" s="58">
      <c r="A21" s="115" t="n"/>
      <c r="B21" s="115" t="n"/>
      <c r="C21" s="115" t="n"/>
      <c r="D21" s="115" t="n"/>
      <c r="E21" s="115" t="n"/>
      <c r="F21" s="115" t="n"/>
      <c r="G21" s="115" t="n"/>
      <c r="H21" s="115" t="n"/>
    </row>
    <row r="22" ht="30" customHeight="1" s="58">
      <c r="A22" s="252" t="inlineStr">
        <is>
          <t>Connector checks / recommendations</t>
        </is>
      </c>
      <c r="B22" s="227" t="n"/>
      <c r="C22" s="227" t="n"/>
      <c r="D22" s="227" t="n"/>
      <c r="E22" s="227" t="n"/>
      <c r="F22" s="227" t="n"/>
      <c r="G22" s="227" t="n"/>
      <c r="H22" s="227" t="n"/>
    </row>
    <row r="23" ht="30" customHeight="1" s="58">
      <c r="A23" s="115" t="inlineStr">
        <is>
          <t>Solenoid/pump 6-pin Mini-Fit Jr.</t>
        </is>
      </c>
      <c r="B23" s="115" t="n"/>
      <c r="C23" s="115" t="n"/>
      <c r="D23" s="115" t="n"/>
      <c r="E23" s="115" t="n"/>
      <c r="F23" s="115" t="inlineStr">
        <is>
          <t>Final: 3 dedicated 12V/GND pairs for pump, solenoid driver, modem; SOL_GPIO moved to offboard-STM connector</t>
        </is>
      </c>
      <c r="G23" s="115" t="inlineStr">
        <is>
          <t>Dedicate one 12 V + GND pair to the 5 A pump and the other 12 V + GND pair to the 1.67 A solenoid. Do not rely on parallel contacts sharing current equally.</t>
        </is>
      </c>
      <c r="H23" s="115" t="inlineStr">
        <is>
          <t>https://www.molex.com/content/dam/molex/molex-dot-com/products/automated/en-us/productspecificationpdf/438/43879/PS-43879-001-001.pdf</t>
        </is>
      </c>
    </row>
    <row r="24">
      <c r="A24" s="115" t="inlineStr">
        <is>
          <t>Brake 8-pin Mini-Fit Jr.</t>
        </is>
      </c>
      <c r="B24" s="115" t="n"/>
      <c r="C24" s="251" t="n">
        <v>0.24</v>
      </c>
      <c r="D24" s="115" t="n"/>
      <c r="E24" s="115" t="n"/>
      <c r="F24" s="115" t="inlineStr">
        <is>
          <t>OK</t>
        </is>
      </c>
      <c r="G24" s="115" t="inlineStr">
        <is>
          <t>0.24 A full-load motor current is comfortably below the detailed Mini-Fit Jr. per-contact guideline.</t>
        </is>
      </c>
      <c r="H24" s="115" t="inlineStr">
        <is>
          <t>Uploaded brake_actuator.pdf</t>
        </is>
      </c>
    </row>
    <row r="25">
      <c r="A25" s="115" t="inlineStr">
        <is>
          <t>Steering 8-pin Mini-Fit Jr.</t>
        </is>
      </c>
      <c r="B25" s="115" t="n"/>
      <c r="C25" s="251" t="n">
        <v>3.2</v>
      </c>
      <c r="D25" s="115" t="n"/>
      <c r="E25" s="115" t="n"/>
      <c r="F25" s="115" t="inlineStr">
        <is>
          <t>Rated load OK</t>
        </is>
      </c>
      <c r="G25" s="115" t="inlineStr">
        <is>
          <t>3.2 A rated-load current is fine; 7 A stall/startup needs cable-terminal/wire review because detailed ratings depend on terminal and wire gauge.</t>
        </is>
      </c>
      <c r="H25" s="115" t="inlineStr">
        <is>
          <t>https://www.molex.com/content/dam/molex/molex-dot-com/products/automated/en-us/productspecificationpdf/438/43879/PS-43879-001-001.pdf</t>
        </is>
      </c>
    </row>
    <row r="26">
      <c r="A26" s="115" t="inlineStr">
        <is>
          <t>Main 12 V input 6-pin Mini-Fit Jr.</t>
        </is>
      </c>
      <c r="B26" s="115" t="n"/>
      <c r="C26" s="115" t="n"/>
      <c r="D26" s="115" t="n"/>
      <c r="E26" s="115" t="n"/>
      <c r="F26" s="115" t="inlineStr">
        <is>
          <t>Replace for main input</t>
        </is>
      </c>
      <c r="G26" s="115" t="inlineStr">
        <is>
          <t>Converter is capable of 30 A and already uses AWG12 output leads. Do not rely on three paralleled Mini-Fit Jr. contacts for the main input. Use a dedicated high-current 2-pole connector such as Molex Mega-Fit with 12 AWG terminals, or an equivalently rated direct/screw connection.</t>
        </is>
      </c>
      <c r="H26" s="115" t="inlineStr">
        <is>
          <t>https://www.molex.com/mega-fit; Uploaded WG-24S1230 converter datasheet</t>
        </is>
      </c>
    </row>
    <row r="27" s="58">
      <c r="A27" s="115" t="inlineStr">
        <is>
          <t>Main MINI fuse</t>
        </is>
      </c>
      <c r="B27" s="115" t="n"/>
      <c r="C27" s="251" t="n">
        <v>20</v>
      </c>
      <c r="D27" s="115" t="n"/>
      <c r="E27" s="115" t="n"/>
      <c r="F27" s="115" t="inlineStr">
        <is>
          <t>Change to 20 A candidate</t>
        </is>
      </c>
      <c r="G27" s="115" t="inlineStr">
        <is>
          <t>10 A is below the calculated high-load budget. A 20 A MINI fuse is the best starting candidate with the existing holder: high simultaneous load is ~19.05 A and extreme short-duration stress ~22.85 A. Final selection still requires PCB copper, ambient-temperature derating, and harness verification. Do not jump to 25/30 A because the holder is only 22 A continuous.</t>
        </is>
      </c>
      <c r="H27" s="115" t="inlineStr">
        <is>
          <t>https://www.littelfuse.com/assetdocs/littelfuse-datasheet-297-mini32v?assetguid=42c9dd21-a88e-4328-8e67-2f832444faf1</t>
        </is>
      </c>
    </row>
    <row r="28" s="58">
      <c r="A28" s="225" t="inlineStr">
        <is>
          <t>Harness purchasing strategy</t>
        </is>
      </c>
      <c r="B28" s="225" t="n"/>
      <c r="C28" s="254" t="n"/>
      <c r="D28" s="225" t="n"/>
      <c r="E28" s="225" t="n"/>
      <c r="F28" s="225" t="inlineStr">
        <is>
          <t>Buy housings/terminals now; wire later</t>
        </is>
      </c>
      <c r="G28" s="225" t="inlineStr">
        <is>
          <t>Wire length is not needed to buy connector housings or loose crimp terminals. Buy the mating housings and terminals now. Measure routing on the assembled vehicle, then cut bulk stranded wire to length with service-loop allowance. The converter already provides 16.5 cm AWG12 output pigtails.</t>
        </is>
      </c>
      <c r="H28" s="225" t="inlineStr">
        <is>
          <t>Uploaded WG-24S1230 converter datasheet</t>
        </is>
      </c>
    </row>
    <row r="29" s="58">
      <c r="A29" s="225" t="inlineStr">
        <is>
          <t>Suggested wire-gauge starting points</t>
        </is>
      </c>
      <c r="B29" s="225" t="n"/>
      <c r="C29" s="254" t="n"/>
      <c r="D29" s="225" t="n"/>
      <c r="E29" s="225" t="n"/>
      <c r="F29" s="225" t="inlineStr">
        <is>
          <t>Length-dependent; verify voltage drop</t>
        </is>
      </c>
      <c r="G29" s="225" t="inlineStr">
        <is>
          <t>Main 12 V input: 12 AWG. Pump/steering power: 16 AWG for short runs, consider 14 AWG for longer steering runs. Solenoid: 18 AWG. Servo power: 18 AWG per servo. Logic/PWM/SWD/UART: 22-24 AWG. Final gauge depends on one-way length and acceptable voltage drop.</t>
        </is>
      </c>
      <c r="H29" s="225" t="inlineStr">
        <is>
          <t>Engineering recommendation; confirm against final harness lengths and terminal wire-range specifications</t>
        </is>
      </c>
    </row>
    <row r="30" s="58">
      <c r="A30" s="225" t="inlineStr">
        <is>
          <t>Pump + solenoid + modem 6-pin branch</t>
        </is>
      </c>
      <c r="B30" s="225" t="n">
        <v>12</v>
      </c>
      <c r="C30" s="254" t="n"/>
      <c r="D30" s="225" t="n"/>
      <c r="E30" s="225" t="n"/>
      <c r="F30" s="225" t="inlineStr">
        <is>
          <t>Use dedicated returns</t>
        </is>
      </c>
      <c r="G30" s="225" t="inlineStr">
        <is>
          <t>If one ground contact were shared, return current would be at least 5.00 A + 1.67 A + I_modem = 6.67 A + I_modem. Prefer three 12 V/GND pairs to avoid concentrating all branch current in one ground contact.</t>
        </is>
      </c>
      <c r="H30" s="225" t="inlineStr">
        <is>
          <t>Pump 60 W/12 V; solenoid 20 W/12 V; modem current TBD</t>
        </is>
      </c>
    </row>
  </sheetData>
  <mergeCells count="3">
    <mergeCell ref="A16:H16"/>
    <mergeCell ref="A22:H2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
  <sheetViews>
    <sheetView showGridLines="0" workbookViewId="0">
      <pane ySplit="3" topLeftCell="A4" activePane="bottomLeft" state="frozen"/>
      <selection pane="bottomLeft" activeCell="A1" sqref="A1"/>
    </sheetView>
  </sheetViews>
  <sheetFormatPr baseColWidth="8" defaultRowHeight="15"/>
  <cols>
    <col width="31" customWidth="1" style="58" min="1" max="1"/>
    <col width="24" customWidth="1" style="58" min="2" max="2"/>
    <col width="29" customWidth="1" style="58" min="3" max="3"/>
    <col width="14" customWidth="1" style="58" min="4" max="4"/>
    <col width="42" customWidth="1" style="58" min="5" max="5"/>
    <col width="48" customWidth="1" style="58" min="6" max="6"/>
    <col width="28" customWidth="1" style="58" min="7" max="7"/>
    <col width="68" customWidth="1" style="58" min="8" max="8"/>
  </cols>
  <sheetData>
    <row r="1" ht="24" customHeight="1" s="58">
      <c r="A1" s="255" t="inlineStr">
        <is>
          <t>Connector / Harness Parts To Buy</t>
        </is>
      </c>
      <c r="B1" s="227" t="n"/>
      <c r="C1" s="227" t="n"/>
      <c r="D1" s="227" t="n"/>
      <c r="E1" s="227" t="n"/>
      <c r="F1" s="227" t="n"/>
      <c r="G1" s="227" t="n"/>
      <c r="H1" s="227" t="n"/>
    </row>
    <row r="3">
      <c r="A3" s="256" t="inlineStr">
        <is>
          <t>Use</t>
        </is>
      </c>
      <c r="B3" s="256" t="inlineStr">
        <is>
          <t>Family</t>
        </is>
      </c>
      <c r="C3" s="256" t="inlineStr">
        <is>
          <t>Manufacturer Part Number</t>
        </is>
      </c>
      <c r="D3" s="256" t="inlineStr">
        <is>
          <t>Location</t>
        </is>
      </c>
      <c r="E3" s="256" t="inlineStr">
        <is>
          <t>What it is</t>
        </is>
      </c>
      <c r="F3" s="256" t="inlineStr">
        <is>
          <t>Recommended use / wire</t>
        </is>
      </c>
      <c r="G3" s="256" t="inlineStr">
        <is>
          <t>Status</t>
        </is>
      </c>
      <c r="H3" s="256" t="inlineStr">
        <is>
          <t>Source</t>
        </is>
      </c>
    </row>
    <row r="4" ht="46" customHeight="1" s="58">
      <c r="A4" s="257" t="inlineStr">
        <is>
          <t>Main 12 V PCB header</t>
        </is>
      </c>
      <c r="B4" s="257" t="inlineStr">
        <is>
          <t>Molex Mega-Fit</t>
        </is>
      </c>
      <c r="C4" s="257" t="inlineStr">
        <is>
          <t>768290002 / 0768290002</t>
        </is>
      </c>
      <c r="D4" s="257" t="inlineStr">
        <is>
          <t>PCB</t>
        </is>
      </c>
      <c r="E4" s="257" t="inlineStr">
        <is>
          <t>2-position vertical THT male header</t>
        </is>
      </c>
      <c r="F4" s="257" t="inlineStr">
        <is>
          <t>12 AWG main +12 V/GND</t>
        </is>
      </c>
      <c r="G4" s="258" t="inlineStr">
        <is>
          <t>YES - replaces 6-pin Mini-Fit main input</t>
        </is>
      </c>
      <c r="H4" s="259" t="inlineStr">
        <is>
          <t>https://www.molex.com/en-us/products/series-chart/76829</t>
        </is>
      </c>
    </row>
    <row r="5" ht="46" customHeight="1" s="58">
      <c r="A5" s="260" t="inlineStr">
        <is>
          <t>Main 12 V cable housing</t>
        </is>
      </c>
      <c r="B5" s="260" t="inlineStr">
        <is>
          <t>Molex Mega-Fit</t>
        </is>
      </c>
      <c r="C5" s="260" t="inlineStr">
        <is>
          <t>1716920202</t>
        </is>
      </c>
      <c r="D5" s="260" t="inlineStr">
        <is>
          <t>Harness</t>
        </is>
      </c>
      <c r="E5" s="260" t="inlineStr">
        <is>
          <t>2-position TPA-capable receptacle housing</t>
        </is>
      </c>
      <c r="F5" s="260" t="inlineStr">
        <is>
          <t>Mate to 768290002</t>
        </is>
      </c>
      <c r="G5" s="261" t="inlineStr">
        <is>
          <t>BUY</t>
        </is>
      </c>
      <c r="H5" s="115" t="inlineStr">
        <is>
          <t>https://www.molex.com/en-us/products/series-chart/171692</t>
        </is>
      </c>
    </row>
    <row r="6" ht="46" customHeight="1" s="58">
      <c r="A6" s="257" t="inlineStr">
        <is>
          <t>Main 12 V crimp contact</t>
        </is>
      </c>
      <c r="B6" s="257" t="inlineStr">
        <is>
          <t>Molex Mega-Fit</t>
        </is>
      </c>
      <c r="C6" s="257" t="inlineStr">
        <is>
          <t>768230343 / 0768230343</t>
        </is>
      </c>
      <c r="D6" s="257" t="inlineStr">
        <is>
          <t>Harness</t>
        </is>
      </c>
      <c r="E6" s="257" t="inlineStr">
        <is>
          <t>Female tin crimp, single 12 AWG (or double 16+16)</t>
        </is>
      </c>
      <c r="F6" s="257" t="inlineStr">
        <is>
          <t>2 per harness + spares</t>
        </is>
      </c>
      <c r="G6" s="258" t="inlineStr">
        <is>
          <t>BUY; use with 1716920202</t>
        </is>
      </c>
      <c r="H6" s="259" t="inlineStr">
        <is>
          <t>https://www.molex.com/en-us/products/series-chart/76823</t>
        </is>
      </c>
    </row>
    <row r="7" ht="46" customHeight="1" s="58">
      <c r="A7" s="260" t="inlineStr">
        <is>
          <t>Main 12 V fuse</t>
        </is>
      </c>
      <c r="B7" s="260" t="inlineStr">
        <is>
          <t>Littelfuse MINI 297</t>
        </is>
      </c>
      <c r="C7" s="260" t="inlineStr">
        <is>
          <t>0297020.WXNV</t>
        </is>
      </c>
      <c r="D7" s="260" t="inlineStr">
        <is>
          <t>PCB fuse holder</t>
        </is>
      </c>
      <c r="E7" s="260" t="inlineStr">
        <is>
          <t>20 A, 32 V automotive MINI blade fuse</t>
        </is>
      </c>
      <c r="F7" s="260" t="inlineStr">
        <is>
          <t>Existing 178.6764.0001 holder</t>
        </is>
      </c>
      <c r="G7" s="261" t="inlineStr">
        <is>
          <t>BUY; final rating verify in test</t>
        </is>
      </c>
      <c r="H7" s="115" t="inlineStr">
        <is>
          <t>https://www.digikey.com/en/products/detail/littelfuse-inc/0297020-WXNV/146599</t>
        </is>
      </c>
    </row>
    <row r="8" ht="46" customHeight="1" s="58">
      <c r="A8" s="257" t="inlineStr">
        <is>
          <t>Micro-Fit 6-pos mating housing</t>
        </is>
      </c>
      <c r="B8" s="257" t="inlineStr">
        <is>
          <t>Molex Micro-Fit 3.0</t>
        </is>
      </c>
      <c r="C8" s="257" t="inlineStr">
        <is>
          <t>430250600 / 0430250600</t>
        </is>
      </c>
      <c r="D8" s="257" t="inlineStr">
        <is>
          <t>Harness</t>
        </is>
      </c>
      <c r="E8" s="257" t="inlineStr">
        <is>
          <t>6-position dual-row receptacle housing</t>
        </is>
      </c>
      <c r="F8" s="257" t="inlineStr">
        <is>
          <t>Pi, SWD, accel logic, 3 servo headers, offboard STM</t>
        </is>
      </c>
      <c r="G8" s="258" t="inlineStr">
        <is>
          <t>BUY ~7 + spares</t>
        </is>
      </c>
      <c r="H8" s="259" t="inlineStr">
        <is>
          <t>https://www.molex.com/en-us/products/part-detail/430250600</t>
        </is>
      </c>
    </row>
    <row r="9" ht="46" customHeight="1" s="58">
      <c r="A9" s="260" t="inlineStr">
        <is>
          <t>Micro-Fit power crimp</t>
        </is>
      </c>
      <c r="B9" s="260" t="inlineStr">
        <is>
          <t>Molex Micro-Fit 3.0</t>
        </is>
      </c>
      <c r="C9" s="260" t="inlineStr">
        <is>
          <t>430300038 / 0430300038</t>
        </is>
      </c>
      <c r="D9" s="260" t="inlineStr">
        <is>
          <t>Harness</t>
        </is>
      </c>
      <c r="E9" s="260" t="inlineStr">
        <is>
          <t>Female tin crimp for 18 AWG, 8.5 A max/contact</t>
        </is>
      </c>
      <c r="F9" s="260" t="inlineStr">
        <is>
          <t>Servo power/GND; higher-current 5 V/GND</t>
        </is>
      </c>
      <c r="G9" s="261" t="inlineStr">
        <is>
          <t>BUY; match wire OD</t>
        </is>
      </c>
      <c r="H9" s="115" t="inlineStr">
        <is>
          <t>https://www.molex.com/en-us/products/part-detail/430300038</t>
        </is>
      </c>
    </row>
    <row r="10" ht="46" customHeight="1" s="58">
      <c r="A10" s="257" t="inlineStr">
        <is>
          <t>Micro-Fit signal crimp</t>
        </is>
      </c>
      <c r="B10" s="257" t="inlineStr">
        <is>
          <t>Molex Micro-Fit 3.0</t>
        </is>
      </c>
      <c r="C10" s="257" t="inlineStr">
        <is>
          <t>430300001 / 0430300001</t>
        </is>
      </c>
      <c r="D10" s="257" t="inlineStr">
        <is>
          <t>Harness</t>
        </is>
      </c>
      <c r="E10" s="257" t="inlineStr">
        <is>
          <t>Female tin crimp for 20-24 AWG, 7 A max/contact</t>
        </is>
      </c>
      <c r="F10" s="257" t="inlineStr">
        <is>
          <t>PWM, UART, SWD, EN and low-current logic</t>
        </is>
      </c>
      <c r="G10" s="258" t="inlineStr">
        <is>
          <t>BUY; 22 AWG is a good default</t>
        </is>
      </c>
      <c r="H10" s="259" t="inlineStr">
        <is>
          <t>https://www.molex.com/en-us/products/part-detail/430300001</t>
        </is>
      </c>
    </row>
    <row r="11" ht="46" customHeight="1" s="58">
      <c r="A11" s="260" t="inlineStr">
        <is>
          <t>Mini-Fit Jr. 6-pos mating housing</t>
        </is>
      </c>
      <c r="B11" s="260" t="inlineStr">
        <is>
          <t>Molex Mini-Fit Jr.</t>
        </is>
      </c>
      <c r="C11" s="260" t="inlineStr">
        <is>
          <t>39012060 / 39-01-2060</t>
        </is>
      </c>
      <c r="D11" s="260" t="inlineStr">
        <is>
          <t>Harness</t>
        </is>
      </c>
      <c r="E11" s="260" t="inlineStr">
        <is>
          <t>6-position dual-row receptacle housing</t>
        </is>
      </c>
      <c r="F11" s="260" t="inlineStr">
        <is>
          <t>Pump + solenoid-driver + modem; 3 dedicated 12V/GND pairs</t>
        </is>
      </c>
      <c r="G11" s="261" t="inlineStr">
        <is>
          <t>BUY + spare</t>
        </is>
      </c>
      <c r="H11" s="115" t="inlineStr">
        <is>
          <t>https://www.molex.com/en-us/products/part-detail/39012060</t>
        </is>
      </c>
    </row>
    <row r="12" ht="46" customHeight="1" s="58">
      <c r="A12" s="257" t="inlineStr">
        <is>
          <t>Mini-Fit Jr. 8-pos mating housing</t>
        </is>
      </c>
      <c r="B12" s="257" t="inlineStr">
        <is>
          <t>Molex Mini-Fit Jr.</t>
        </is>
      </c>
      <c r="C12" s="257" t="inlineStr">
        <is>
          <t>39012080 / 39-01-2080</t>
        </is>
      </c>
      <c r="D12" s="257" t="inlineStr">
        <is>
          <t>Harness</t>
        </is>
      </c>
      <c r="E12" s="257" t="inlineStr">
        <is>
          <t>8-position dual-row receptacle housing</t>
        </is>
      </c>
      <c r="F12" s="257" t="inlineStr">
        <is>
          <t>Brake + steering connectors</t>
        </is>
      </c>
      <c r="G12" s="258" t="inlineStr">
        <is>
          <t>BUY 2 + spare</t>
        </is>
      </c>
      <c r="H12" s="259" t="inlineStr">
        <is>
          <t>https://www.molex.com/en-us/products/part-detail/39012080</t>
        </is>
      </c>
    </row>
    <row r="13" ht="46" customHeight="1" s="58">
      <c r="A13" s="260" t="inlineStr">
        <is>
          <t>Mini-Fit power crimp</t>
        </is>
      </c>
      <c r="B13" s="260" t="inlineStr">
        <is>
          <t>Molex Mini-Fit Plus HCS</t>
        </is>
      </c>
      <c r="C13" s="260" t="inlineStr">
        <is>
          <t>457503112 / 0457503112</t>
        </is>
      </c>
      <c r="D13" s="260" t="inlineStr">
        <is>
          <t>Harness</t>
        </is>
      </c>
      <c r="E13" s="260" t="inlineStr">
        <is>
          <t>Female tin crimp for 16 AWG, up to 13 A contact rating</t>
        </is>
      </c>
      <c r="F13" s="260" t="inlineStr">
        <is>
          <t>Pump 12 V/GND; steering 12 V/GND; other higher-current Mini-Fit pins</t>
        </is>
      </c>
      <c r="G13" s="261" t="inlineStr">
        <is>
          <t>BUY; header remains application limit</t>
        </is>
      </c>
      <c r="H13" s="115" t="inlineStr">
        <is>
          <t>https://www.molex.com/en-us/products/part-detail/457503112</t>
        </is>
      </c>
    </row>
    <row r="14" ht="46" customHeight="1" s="58">
      <c r="A14" s="257" t="inlineStr">
        <is>
          <t>Mini-Fit signal/light-power crimp</t>
        </is>
      </c>
      <c r="B14" s="257" t="inlineStr">
        <is>
          <t>Molex Mini-Fit Jr.</t>
        </is>
      </c>
      <c r="C14" s="257" t="inlineStr">
        <is>
          <t>39-00-0038</t>
        </is>
      </c>
      <c r="D14" s="257" t="inlineStr">
        <is>
          <t>Harness</t>
        </is>
      </c>
      <c r="E14" s="257" t="inlineStr">
        <is>
          <t>Female tin crimp for 18-24 AWG, up to 9 A contact rating</t>
        </is>
      </c>
      <c r="F14" s="257" t="inlineStr">
        <is>
          <t>PWM/EN/5 V logic; solenoid 12 V/GND at 1.67 A</t>
        </is>
      </c>
      <c r="G14" s="258" t="inlineStr">
        <is>
          <t>BUY; 18-22 AWG depending circuit</t>
        </is>
      </c>
      <c r="H14" s="259" t="inlineStr">
        <is>
          <t>https://www.newark.com/molex/39-00-0038/contact-18awg-socket-crimp/dp/90B6898</t>
        </is>
      </c>
    </row>
  </sheetData>
  <autoFilter ref="A3:H14"/>
  <mergeCells count="1">
    <mergeCell ref="A1:H1"/>
  </mergeCells>
  <pageMargins left="0.75" right="0.75" top="1" bottom="1" header="0.5" footer="0.5"/>
</worksheet>
</file>

<file path=xl/worksheets/sheet16.xml><?xml version="1.0" encoding="utf-8"?>
<worksheet xmlns="http://schemas.openxmlformats.org/spreadsheetml/2006/main">
  <sheetPr>
    <outlinePr summaryBelow="1" summaryRight="1"/>
    <pageSetUpPr fitToPage="1"/>
  </sheetPr>
  <dimension ref="A1:G66"/>
  <sheetViews>
    <sheetView showGridLines="0" workbookViewId="0">
      <pane ySplit="3" topLeftCell="A4" activePane="bottomLeft" state="frozen"/>
      <selection pane="bottomLeft" activeCell="A1" sqref="A1"/>
    </sheetView>
  </sheetViews>
  <sheetFormatPr baseColWidth="8" defaultRowHeight="15"/>
  <cols>
    <col width="24" customWidth="1" style="58" min="1" max="1"/>
    <col width="28" customWidth="1" style="58" min="2" max="2"/>
    <col width="35" customWidth="1" style="58" min="3" max="3"/>
    <col width="31" customWidth="1" style="58" min="4" max="4"/>
    <col width="48" customWidth="1" style="58" min="5" max="5"/>
    <col width="70" customWidth="1" style="58" min="6" max="6"/>
    <col width="65" customWidth="1" style="58" min="7" max="7"/>
  </cols>
  <sheetData>
    <row r="1" ht="24" customHeight="1" s="58">
      <c r="A1" s="270" t="inlineStr">
        <is>
          <t>PCB Stackup &amp; JLCPCB Design Rules</t>
        </is>
      </c>
      <c r="B1" s="227" t="n"/>
      <c r="C1" s="227" t="n"/>
      <c r="D1" s="227" t="n"/>
      <c r="E1" s="227" t="n"/>
      <c r="F1" s="227" t="n"/>
      <c r="G1" s="227" t="n"/>
    </row>
    <row r="2">
      <c r="A2" s="115" t="n"/>
      <c r="B2" s="115" t="n"/>
      <c r="C2" s="115" t="n"/>
      <c r="D2" s="115" t="n"/>
      <c r="E2" s="115" t="n"/>
      <c r="F2" s="115" t="n"/>
      <c r="G2" s="115" t="n"/>
    </row>
    <row r="3">
      <c r="A3" s="271" t="inlineStr">
        <is>
          <t>Current 4-Layer Stackup (Implemented in Altium)</t>
        </is>
      </c>
      <c r="B3" s="227" t="n"/>
      <c r="C3" s="227" t="n"/>
      <c r="D3" s="227" t="n"/>
      <c r="E3" s="227" t="n"/>
      <c r="F3" s="227" t="n"/>
      <c r="G3" s="227" t="n"/>
    </row>
    <row r="4" ht="30" customHeight="1" s="58">
      <c r="A4" s="272" t="inlineStr">
        <is>
          <t>Layer / Material</t>
        </is>
      </c>
      <c r="B4" s="272" t="inlineStr">
        <is>
          <t>Altium Type</t>
        </is>
      </c>
      <c r="C4" s="272" t="inlineStr">
        <is>
          <t>Copper</t>
        </is>
      </c>
      <c r="D4" s="272" t="inlineStr">
        <is>
          <t>Approx. Thickness (mm)</t>
        </is>
      </c>
      <c r="E4" s="272" t="inlineStr">
        <is>
          <t>Purpose</t>
        </is>
      </c>
      <c r="F4" s="272" t="inlineStr">
        <is>
          <t>Status / Notes</t>
        </is>
      </c>
      <c r="G4" s="272" t="inlineStr">
        <is>
          <t>Source</t>
        </is>
      </c>
    </row>
    <row r="5" ht="42" customHeight="1" s="58">
      <c r="A5" s="265" t="inlineStr">
        <is>
          <t>L1 - TOP SIGNAL / POWER</t>
        </is>
      </c>
      <c r="B5" s="265" t="inlineStr">
        <is>
          <t>Signal</t>
        </is>
      </c>
      <c r="C5" s="265" t="inlineStr">
        <is>
          <t>2 oz</t>
        </is>
      </c>
      <c r="D5" s="265" t="inlineStr">
        <is>
          <t>~0.070</t>
        </is>
      </c>
      <c r="E5" s="265" t="inlineStr">
        <is>
          <t>Components, control signals, short switching loops, high-current outer-layer pours</t>
        </is>
      </c>
      <c r="F5" s="265" t="inlineStr">
        <is>
          <t>Implemented in Altium</t>
        </is>
      </c>
      <c r="G5" s="266" t="inlineStr">
        <is>
          <t>https://jlcpcb.com/capabilities/pcb-capabilities</t>
        </is>
      </c>
    </row>
    <row r="6" ht="42" customHeight="1" s="58">
      <c r="A6" s="267" t="inlineStr">
        <is>
          <t>Dielectric - Prepreg</t>
        </is>
      </c>
      <c r="B6" s="267" t="inlineStr">
        <is>
          <t>Prepreg</t>
        </is>
      </c>
      <c r="C6" s="267" t="inlineStr">
        <is>
          <t>-</t>
        </is>
      </c>
      <c r="D6" s="267" t="inlineStr">
        <is>
          <t>~0.18</t>
        </is>
      </c>
      <c r="E6" s="267" t="inlineStr">
        <is>
          <t>Keep L1 close to L2 ground reference</t>
        </is>
      </c>
      <c r="F6" s="267" t="inlineStr">
        <is>
          <t>Approx. design value; production value comes from selected JLC stackup</t>
        </is>
      </c>
      <c r="G6" s="268" t="inlineStr">
        <is>
          <t>https://jlcpcb.com/impedance</t>
        </is>
      </c>
    </row>
    <row r="7" ht="42" customHeight="1" s="58">
      <c r="A7" s="265" t="inlineStr">
        <is>
          <t>L2 - GND PLANE</t>
        </is>
      </c>
      <c r="B7" s="265" t="inlineStr">
        <is>
          <t>Signal + solid GND polygon</t>
        </is>
      </c>
      <c r="C7" s="265" t="inlineStr">
        <is>
          <t>1 oz</t>
        </is>
      </c>
      <c r="D7" s="265" t="inlineStr">
        <is>
          <t>~0.035</t>
        </is>
      </c>
      <c r="E7" s="265" t="inlineStr">
        <is>
          <t>Continuous ground reference plane; avoid routing/splits</t>
        </is>
      </c>
      <c r="F7" s="265" t="inlineStr">
        <is>
          <t>Implemented in Altium</t>
        </is>
      </c>
      <c r="G7" s="266" t="inlineStr">
        <is>
          <t>https://jlcpcb.com/capabilities/pcb-capabilities</t>
        </is>
      </c>
    </row>
    <row r="8" ht="42" customHeight="1" s="58">
      <c r="A8" s="267" t="inlineStr">
        <is>
          <t>Dielectric - Core</t>
        </is>
      </c>
      <c r="B8" s="267" t="inlineStr">
        <is>
          <t>FR-4 core</t>
        </is>
      </c>
      <c r="C8" s="267" t="inlineStr">
        <is>
          <t>-</t>
        </is>
      </c>
      <c r="D8" s="267" t="inlineStr">
        <is>
          <t>~1.00</t>
        </is>
      </c>
      <c r="E8" s="267" t="inlineStr">
        <is>
          <t>Carries most of the board thickness while keeping L1-L2 and L3-L4 close</t>
        </is>
      </c>
      <c r="F8" s="267" t="inlineStr">
        <is>
          <t>Approx. design value; production value comes from selected JLC stackup</t>
        </is>
      </c>
      <c r="G8" s="268" t="inlineStr">
        <is>
          <t>https://jlcpcb.com/impedance</t>
        </is>
      </c>
    </row>
    <row r="9" ht="42" customHeight="1" s="58">
      <c r="A9" s="265" t="inlineStr">
        <is>
          <t>L3 - POWER / SIGNAL</t>
        </is>
      </c>
      <c r="B9" s="265" t="inlineStr">
        <is>
          <t>Signal + power polygons</t>
        </is>
      </c>
      <c r="C9" s="265" t="inlineStr">
        <is>
          <t>1 oz</t>
        </is>
      </c>
      <c r="D9" s="265" t="inlineStr">
        <is>
          <t>~0.035</t>
        </is>
      </c>
      <c r="E9" s="265" t="inlineStr">
        <is>
          <t>12 V / 6 V / 5 V / 3V3 distribution plus limited low-speed routing</t>
        </is>
      </c>
      <c r="F9" s="265" t="inlineStr">
        <is>
          <t>Implemented in Altium</t>
        </is>
      </c>
      <c r="G9" s="266" t="inlineStr">
        <is>
          <t>https://jlcpcb.com/capabilities/pcb-capabilities</t>
        </is>
      </c>
    </row>
    <row r="10" ht="42" customHeight="1" s="58">
      <c r="A10" s="267" t="inlineStr">
        <is>
          <t>Dielectric - Prepreg</t>
        </is>
      </c>
      <c r="B10" s="267" t="inlineStr">
        <is>
          <t>Prepreg</t>
        </is>
      </c>
      <c r="C10" s="267" t="inlineStr">
        <is>
          <t>-</t>
        </is>
      </c>
      <c r="D10" s="267" t="inlineStr">
        <is>
          <t>~0.18</t>
        </is>
      </c>
      <c r="E10" s="267" t="inlineStr">
        <is>
          <t>Keep L4 reasonably close to L3 reference copper</t>
        </is>
      </c>
      <c r="F10" s="267" t="inlineStr">
        <is>
          <t>Approx. design value; production value comes from selected JLC stackup</t>
        </is>
      </c>
      <c r="G10" s="268" t="inlineStr">
        <is>
          <t>https://jlcpcb.com/impedance</t>
        </is>
      </c>
    </row>
    <row r="11" ht="42" customHeight="1" s="58">
      <c r="A11" s="265" t="inlineStr">
        <is>
          <t>L4 - BOTTOM SIGNAL / POWER</t>
        </is>
      </c>
      <c r="B11" s="265" t="inlineStr">
        <is>
          <t>Signal</t>
        </is>
      </c>
      <c r="C11" s="265" t="inlineStr">
        <is>
          <t>2 oz</t>
        </is>
      </c>
      <c r="D11" s="265" t="inlineStr">
        <is>
          <t>~0.070</t>
        </is>
      </c>
      <c r="E11" s="265" t="inlineStr">
        <is>
          <t>Secondary routing and additional high-current outer-layer copper</t>
        </is>
      </c>
      <c r="F11" s="265" t="inlineStr">
        <is>
          <t>Implemented in Altium</t>
        </is>
      </c>
      <c r="G11" s="266" t="inlineStr">
        <is>
          <t>https://jlcpcb.com/capabilities/pcb-capabilities</t>
        </is>
      </c>
    </row>
    <row r="12" ht="42" customHeight="1" s="58">
      <c r="A12" s="267" t="inlineStr">
        <is>
          <t>Finished board target</t>
        </is>
      </c>
      <c r="B12" s="267" t="inlineStr">
        <is>
          <t>FR-4</t>
        </is>
      </c>
      <c r="C12" s="267" t="inlineStr">
        <is>
          <t>-</t>
        </is>
      </c>
      <c r="D12" s="267" t="inlineStr">
        <is>
          <t>1.60</t>
        </is>
      </c>
      <c r="E12" s="267" t="inlineStr">
        <is>
          <t>Standard rigid board thickness</t>
        </is>
      </c>
      <c r="F12" s="267" t="inlineStr">
        <is>
          <t>JLC tolerance for thickness &gt;=1.0 mm is +/-10% (1.44-1.76 mm for 1.6 mm nominal)</t>
        </is>
      </c>
      <c r="G12" s="268" t="inlineStr">
        <is>
          <t>https://jlcpcb.com/capabilities/pcb-capabilities</t>
        </is>
      </c>
    </row>
    <row r="13">
      <c r="A13" s="115" t="n"/>
      <c r="B13" s="115" t="n"/>
      <c r="C13" s="115" t="n"/>
      <c r="D13" s="115" t="n"/>
      <c r="E13" s="115" t="n"/>
      <c r="F13" s="115" t="n"/>
      <c r="G13" s="115" t="n"/>
    </row>
    <row r="14" s="58">
      <c r="A14" s="271" t="inlineStr">
        <is>
          <t>JLCPCB Fabrication Limits and Project Rules</t>
        </is>
      </c>
      <c r="B14" s="227" t="n"/>
      <c r="C14" s="227" t="n"/>
      <c r="D14" s="227" t="n"/>
      <c r="E14" s="227" t="n"/>
      <c r="F14" s="227" t="n"/>
      <c r="G14" s="227" t="n"/>
    </row>
    <row r="15" ht="30" customHeight="1" s="58">
      <c r="A15" s="272" t="inlineStr">
        <is>
          <t>Category</t>
        </is>
      </c>
      <c r="B15" s="272" t="inlineStr">
        <is>
          <t>Rule / Feature</t>
        </is>
      </c>
      <c r="C15" s="272" t="inlineStr">
        <is>
          <t>JLCPCB Published Capability</t>
        </is>
      </c>
      <c r="D15" s="272" t="inlineStr">
        <is>
          <t>Project Rule to Use</t>
        </is>
      </c>
      <c r="E15" s="272" t="inlineStr">
        <is>
          <t>Units</t>
        </is>
      </c>
      <c r="F15" s="272" t="inlineStr">
        <is>
          <t>Design Note</t>
        </is>
      </c>
      <c r="G15" s="272" t="inlineStr">
        <is>
          <t>Source</t>
        </is>
      </c>
    </row>
    <row r="16" ht="45" customHeight="1" s="58">
      <c r="A16" s="267" t="inlineStr">
        <is>
          <t>Board</t>
        </is>
      </c>
      <c r="B16" s="267" t="inlineStr">
        <is>
          <t>Layer count</t>
        </is>
      </c>
      <c r="C16" s="267" t="inlineStr">
        <is>
          <t>1-32 supported</t>
        </is>
      </c>
      <c r="D16" s="267" t="inlineStr">
        <is>
          <t>4 layers</t>
        </is>
      </c>
      <c r="E16" s="267" t="inlineStr">
        <is>
          <t>-</t>
        </is>
      </c>
      <c r="F16" s="267" t="inlineStr">
        <is>
          <t>Current design uses 4 layers.</t>
        </is>
      </c>
      <c r="G16" s="268" t="inlineStr">
        <is>
          <t>https://jlcpcb.com/capabilities/pcb-capabilities</t>
        </is>
      </c>
    </row>
    <row r="17" ht="45" customHeight="1" s="58">
      <c r="A17" s="265" t="inlineStr">
        <is>
          <t>Board</t>
        </is>
      </c>
      <c r="B17" s="265" t="inlineStr">
        <is>
          <t>Finished thickness</t>
        </is>
      </c>
      <c r="C17" s="265" t="inlineStr">
        <is>
          <t>1.6 mm is a standard option</t>
        </is>
      </c>
      <c r="D17" s="265" t="inlineStr">
        <is>
          <t>1.6 mm</t>
        </is>
      </c>
      <c r="E17" s="265" t="inlineStr">
        <is>
          <t>mm</t>
        </is>
      </c>
      <c r="F17" s="265" t="inlineStr">
        <is>
          <t>Thickness tolerance is +/-10% for thickness &gt;=1.0 mm.</t>
        </is>
      </c>
      <c r="G17" s="266" t="inlineStr">
        <is>
          <t>https://jlcpcb.com/capabilities/pcb-capabilities</t>
        </is>
      </c>
    </row>
    <row r="18" ht="45" customHeight="1" s="58">
      <c r="A18" s="267" t="inlineStr">
        <is>
          <t>Copper</t>
        </is>
      </c>
      <c r="B18" s="267" t="inlineStr">
        <is>
          <t>Outer-layer copper</t>
        </is>
      </c>
      <c r="C18" s="267" t="inlineStr">
        <is>
          <t>Multilayer: 1 oz or 2 oz</t>
        </is>
      </c>
      <c r="D18" s="267" t="inlineStr">
        <is>
          <t>2 oz</t>
        </is>
      </c>
      <c r="E18" s="267" t="inlineStr">
        <is>
          <t>oz</t>
        </is>
      </c>
      <c r="F18" s="267" t="inlineStr">
        <is>
          <t>Matches high-current outer-layer strategy.</t>
        </is>
      </c>
      <c r="G18" s="268" t="inlineStr">
        <is>
          <t>https://jlcpcb.com/capabilities/pcb-capabilities</t>
        </is>
      </c>
    </row>
    <row r="19" ht="45" customHeight="1" s="58">
      <c r="A19" s="265" t="inlineStr">
        <is>
          <t>Copper</t>
        </is>
      </c>
      <c r="B19" s="265" t="inlineStr">
        <is>
          <t>Inner-layer copper</t>
        </is>
      </c>
      <c r="C19" s="265" t="inlineStr">
        <is>
          <t>0.5 oz / 1 oz / 2 oz</t>
        </is>
      </c>
      <c r="D19" s="265" t="inlineStr">
        <is>
          <t>1 oz</t>
        </is>
      </c>
      <c r="E19" s="265" t="inlineStr">
        <is>
          <t>oz</t>
        </is>
      </c>
      <c r="F19" s="265" t="inlineStr">
        <is>
          <t>L2 ground and L3 power/signal use 1 oz.</t>
        </is>
      </c>
      <c r="G19" s="266" t="inlineStr">
        <is>
          <t>https://jlcpcb.com/capabilities/pcb-capabilities</t>
        </is>
      </c>
    </row>
    <row r="20" ht="45" customHeight="1" s="58">
      <c r="A20" s="267" t="inlineStr">
        <is>
          <t>Routing</t>
        </is>
      </c>
      <c r="B20" s="267" t="inlineStr">
        <is>
          <t>2 oz track width</t>
        </is>
      </c>
      <c r="C20" s="267" t="inlineStr">
        <is>
          <t>0.16 mm headline; page notes 0.15 mm for multilayer</t>
        </is>
      </c>
      <c r="D20" s="267" t="inlineStr">
        <is>
          <t>0.20 mm minimum; 0.25 mm default</t>
        </is>
      </c>
      <c r="E20" s="267" t="inlineStr">
        <is>
          <t>mm</t>
        </is>
      </c>
      <c r="F20" s="267" t="inlineStr">
        <is>
          <t>Do not design at the fab edge unless necessary. Use wider traces/pours for power.</t>
        </is>
      </c>
      <c r="G20" s="268" t="inlineStr">
        <is>
          <t>https://jlcpcb.com/capabilities/pcb-capabilities</t>
        </is>
      </c>
    </row>
    <row r="21" ht="45" customHeight="1" s="58">
      <c r="A21" s="265" t="inlineStr">
        <is>
          <t>Routing</t>
        </is>
      </c>
      <c r="B21" s="265" t="inlineStr">
        <is>
          <t>2 oz track spacing</t>
        </is>
      </c>
      <c r="C21" s="265" t="inlineStr">
        <is>
          <t>0.16 mm headline; page notes 0.15 mm for multilayer</t>
        </is>
      </c>
      <c r="D21" s="265" t="inlineStr">
        <is>
          <t>0.20 mm default clearance</t>
        </is>
      </c>
      <c r="E21" s="265" t="inlineStr">
        <is>
          <t>mm</t>
        </is>
      </c>
      <c r="F21" s="265" t="inlineStr">
        <is>
          <t>8 mil default gives margin over JLC capability.</t>
        </is>
      </c>
      <c r="G21" s="266" t="inlineStr">
        <is>
          <t>https://jlcpcb.com/capabilities/pcb-capabilities</t>
        </is>
      </c>
    </row>
    <row r="22" ht="45" customHeight="1" s="58">
      <c r="A22" s="267" t="inlineStr">
        <is>
          <t>Routing</t>
        </is>
      </c>
      <c r="B22" s="267" t="inlineStr">
        <is>
          <t>1 oz inner track width/spacing</t>
        </is>
      </c>
      <c r="C22" s="267" t="inlineStr">
        <is>
          <t>0.09 / 0.09 mm for multilayer</t>
        </is>
      </c>
      <c r="D22" s="267" t="inlineStr">
        <is>
          <t>0.20 / 0.20 mm</t>
        </is>
      </c>
      <c r="E22" s="267" t="inlineStr">
        <is>
          <t>mm</t>
        </is>
      </c>
      <c r="F22" s="267" t="inlineStr">
        <is>
          <t>No density reason to use JLC minimum on this board.</t>
        </is>
      </c>
      <c r="G22" s="268" t="inlineStr">
        <is>
          <t>https://jlcpcb.com/capabilities/pcb-capabilities</t>
        </is>
      </c>
    </row>
    <row r="23" ht="45" customHeight="1" s="58">
      <c r="A23" s="265" t="inlineStr">
        <is>
          <t>Routing</t>
        </is>
      </c>
      <c r="B23" s="265" t="inlineStr">
        <is>
          <t>Track-width tolerance</t>
        </is>
      </c>
      <c r="C23" s="265" t="inlineStr">
        <is>
          <t>+/-20%</t>
        </is>
      </c>
      <c r="D23" s="265" t="inlineStr">
        <is>
          <t>Account for tolerance on narrow/current-carrying traces</t>
        </is>
      </c>
      <c r="E23" s="265" t="inlineStr">
        <is>
          <t>%</t>
        </is>
      </c>
      <c r="F23" s="265" t="inlineStr">
        <is>
          <t>High-current paths should use pours, not narrow tracks.</t>
        </is>
      </c>
      <c r="G23" s="266" t="inlineStr">
        <is>
          <t>https://jlcpcb.com/capabilities/pcb-capabilities</t>
        </is>
      </c>
    </row>
    <row r="24" ht="45" customHeight="1" s="58">
      <c r="A24" s="267" t="inlineStr">
        <is>
          <t>Via</t>
        </is>
      </c>
      <c r="B24" s="267" t="inlineStr">
        <is>
          <t>Minimum via drill / diameter</t>
        </is>
      </c>
      <c r="C24" s="267" t="inlineStr">
        <is>
          <t>0.15 / 0.25 mm</t>
        </is>
      </c>
      <c r="D24" s="267" t="inlineStr">
        <is>
          <t>0.30 / 0.60 mm general via</t>
        </is>
      </c>
      <c r="E24" s="267" t="inlineStr">
        <is>
          <t>mm</t>
        </is>
      </c>
      <c r="F24" s="267" t="inlineStr">
        <is>
          <t>JLC prefers &gt;=0.20 mm drill; 0.30/0.60 is robust and avoids premium micro-via-like sizing.</t>
        </is>
      </c>
      <c r="G24" s="268" t="inlineStr">
        <is>
          <t>https://jlcpcb.com/capabilities/pcb-capabilities</t>
        </is>
      </c>
    </row>
    <row r="25" ht="45" customHeight="1" s="58">
      <c r="A25" s="265" t="inlineStr">
        <is>
          <t>Via</t>
        </is>
      </c>
      <c r="B25" s="265" t="inlineStr">
        <is>
          <t>Preferred minimum via drill</t>
        </is>
      </c>
      <c r="C25" s="265" t="inlineStr">
        <is>
          <t>0.20 mm</t>
        </is>
      </c>
      <c r="D25" s="265" t="inlineStr">
        <is>
          <t>0.30 mm</t>
        </is>
      </c>
      <c r="E25" s="265" t="inlineStr">
        <is>
          <t>mm</t>
        </is>
      </c>
      <c r="F25" s="265" t="inlineStr">
        <is>
          <t>0.15 mm is manufacturable but more costly / less desirable.</t>
        </is>
      </c>
      <c r="G25" s="266" t="inlineStr">
        <is>
          <t>https://jlcpcb.com/capabilities/pcb-capabilities</t>
        </is>
      </c>
    </row>
    <row r="26" ht="45" customHeight="1" s="58">
      <c r="A26" s="267" t="inlineStr">
        <is>
          <t>Via</t>
        </is>
      </c>
      <c r="B26" s="267" t="inlineStr">
        <is>
          <t>Power / ground via</t>
        </is>
      </c>
      <c r="C26" s="267" t="inlineStr">
        <is>
          <t>No special minimum beyond normal via rules</t>
        </is>
      </c>
      <c r="D26" s="267" t="inlineStr">
        <is>
          <t>0.40 drill / 0.80 diameter; use multiple vias</t>
        </is>
      </c>
      <c r="E26" s="267" t="inlineStr">
        <is>
          <t>mm</t>
        </is>
      </c>
      <c r="F26" s="267" t="inlineStr">
        <is>
          <t>Do not carry multi-amp current through one small via. Use via arrays for 12 V, 6 V, and high-current GND transitions.</t>
        </is>
      </c>
      <c r="G26" s="268" t="inlineStr">
        <is>
          <t>https://jlcpcb.com/capabilities/pcb-capabilities</t>
        </is>
      </c>
    </row>
    <row r="27" ht="45" customHeight="1" s="58">
      <c r="A27" s="265" t="inlineStr">
        <is>
          <t>Via</t>
        </is>
      </c>
      <c r="B27" s="265" t="inlineStr">
        <is>
          <t>Via hole-to-hole spacing</t>
        </is>
      </c>
      <c r="C27" s="265" t="inlineStr">
        <is>
          <t>0.20 mm</t>
        </is>
      </c>
      <c r="D27" s="265" t="inlineStr">
        <is>
          <t>&gt;=0.30 mm where practical</t>
        </is>
      </c>
      <c r="E27" s="265" t="inlineStr">
        <is>
          <t>mm</t>
        </is>
      </c>
      <c r="F27" s="265" t="inlineStr">
        <is>
          <t>Fab limit is drill-hole edge spacing, not copper-to-copper clearance.</t>
        </is>
      </c>
      <c r="G27" s="266" t="inlineStr">
        <is>
          <t>https://jlcpcb.com/capabilities/pcb-capabilities</t>
        </is>
      </c>
    </row>
    <row r="28" ht="45" customHeight="1" s="58">
      <c r="A28" s="267" t="inlineStr">
        <is>
          <t>PTH</t>
        </is>
      </c>
      <c r="B28" s="267" t="inlineStr">
        <is>
          <t>Pad hole-to-hole spacing</t>
        </is>
      </c>
      <c r="C28" s="267" t="inlineStr">
        <is>
          <t>0.45 mm</t>
        </is>
      </c>
      <c r="D28" s="267" t="inlineStr">
        <is>
          <t>&gt;=0.50 mm</t>
        </is>
      </c>
      <c r="E28" s="267" t="inlineStr">
        <is>
          <t>mm</t>
        </is>
      </c>
      <c r="F28" s="267" t="inlineStr">
        <is>
          <t>Relevant to connector/fuse/large THT footprints.</t>
        </is>
      </c>
      <c r="G28" s="268" t="inlineStr">
        <is>
          <t>https://jlcpcb.com/capabilities/pcb-capabilities</t>
        </is>
      </c>
    </row>
    <row r="29" ht="45" customHeight="1" s="58">
      <c r="A29" s="265" t="inlineStr">
        <is>
          <t>PTH</t>
        </is>
      </c>
      <c r="B29" s="265" t="inlineStr">
        <is>
          <t>Annular ring, multilayer 2 oz</t>
        </is>
      </c>
      <c r="C29" s="265" t="inlineStr">
        <is>
          <t>&gt;=0.254 mm</t>
        </is>
      </c>
      <c r="D29" s="265" t="inlineStr">
        <is>
          <t>&gt;=0.30 mm</t>
        </is>
      </c>
      <c r="E29" s="265" t="inlineStr">
        <is>
          <t>mm</t>
        </is>
      </c>
      <c r="F29" s="265" t="inlineStr">
        <is>
          <t>Use the larger outer-layer requirement because the board uses 2 oz outer copper.</t>
        </is>
      </c>
      <c r="G29" s="266" t="inlineStr">
        <is>
          <t>https://jlcpcb.com/capabilities/pcb-capabilities</t>
        </is>
      </c>
    </row>
    <row r="30" ht="45" customHeight="1" s="58">
      <c r="A30" s="267" t="inlineStr">
        <is>
          <t>Clearance</t>
        </is>
      </c>
      <c r="B30" s="267" t="inlineStr">
        <is>
          <t>Pad to track</t>
        </is>
      </c>
      <c r="C30" s="267" t="inlineStr">
        <is>
          <t>0.10 mm minimum</t>
        </is>
      </c>
      <c r="D30" s="267" t="inlineStr">
        <is>
          <t>0.20 mm</t>
        </is>
      </c>
      <c r="E30" s="267" t="inlineStr">
        <is>
          <t>mm</t>
        </is>
      </c>
      <c r="F30" s="267" t="inlineStr">
        <is>
          <t>JLC explicitly recommends staying well above the minimum.</t>
        </is>
      </c>
      <c r="G30" s="268" t="inlineStr">
        <is>
          <t>https://jlcpcb.com/capabilities/pcb-capabilities</t>
        </is>
      </c>
    </row>
    <row r="31" ht="45" customHeight="1" s="58">
      <c r="A31" s="265" t="inlineStr">
        <is>
          <t>Clearance</t>
        </is>
      </c>
      <c r="B31" s="265" t="inlineStr">
        <is>
          <t>SMD pad to pad, different nets</t>
        </is>
      </c>
      <c r="C31" s="265" t="inlineStr">
        <is>
          <t>0.15 mm minimum</t>
        </is>
      </c>
      <c r="D31" s="265" t="inlineStr">
        <is>
          <t>&gt;=0.20 mm if footprint permits</t>
        </is>
      </c>
      <c r="E31" s="265" t="inlineStr">
        <is>
          <t>mm</t>
        </is>
      </c>
      <c r="F31" s="265" t="inlineStr">
        <is>
          <t>Fine-pitch package geometry may dictate the actual pad gap.</t>
        </is>
      </c>
      <c r="G31" s="266" t="inlineStr">
        <is>
          <t>https://jlcpcb.com/capabilities/pcb-capabilities</t>
        </is>
      </c>
    </row>
    <row r="32" ht="45" customHeight="1" s="58">
      <c r="A32" s="267" t="inlineStr">
        <is>
          <t>Clearance</t>
        </is>
      </c>
      <c r="B32" s="267" t="inlineStr">
        <is>
          <t>Via hole to track</t>
        </is>
      </c>
      <c r="C32" s="267" t="inlineStr">
        <is>
          <t>0.20 mm</t>
        </is>
      </c>
      <c r="D32" s="267" t="inlineStr">
        <is>
          <t>0.25 mm</t>
        </is>
      </c>
      <c r="E32" s="267" t="inlineStr">
        <is>
          <t>mm</t>
        </is>
      </c>
      <c r="F32" s="267" t="inlineStr">
        <is>
          <t>Use extra margin around vias.</t>
        </is>
      </c>
      <c r="G32" s="268" t="inlineStr">
        <is>
          <t>https://jlcpcb.com/capabilities/pcb-capabilities</t>
        </is>
      </c>
    </row>
    <row r="33" ht="45" customHeight="1" s="58">
      <c r="A33" s="265" t="inlineStr">
        <is>
          <t>Clearance</t>
        </is>
      </c>
      <c r="B33" s="265" t="inlineStr">
        <is>
          <t>PTH to track</t>
        </is>
      </c>
      <c r="C33" s="265" t="inlineStr">
        <is>
          <t>0.28 mm minimum; 0.35 mm recommended</t>
        </is>
      </c>
      <c r="D33" s="265" t="inlineStr">
        <is>
          <t>0.35 mm</t>
        </is>
      </c>
      <c r="E33" s="265" t="inlineStr">
        <is>
          <t>mm</t>
        </is>
      </c>
      <c r="F33" s="265" t="inlineStr">
        <is>
          <t>Use JLC recommended value.</t>
        </is>
      </c>
      <c r="G33" s="266" t="inlineStr">
        <is>
          <t>https://jlcpcb.com/capabilities/pcb-capabilities</t>
        </is>
      </c>
    </row>
    <row r="34" ht="45" customHeight="1" s="58">
      <c r="A34" s="267" t="inlineStr">
        <is>
          <t>Clearance</t>
        </is>
      </c>
      <c r="B34" s="267" t="inlineStr">
        <is>
          <t>NPTH to track</t>
        </is>
      </c>
      <c r="C34" s="267" t="inlineStr">
        <is>
          <t>0.20 mm</t>
        </is>
      </c>
      <c r="D34" s="267" t="inlineStr">
        <is>
          <t>0.30 mm</t>
        </is>
      </c>
      <c r="E34" s="267" t="inlineStr">
        <is>
          <t>mm</t>
        </is>
      </c>
      <c r="F34" s="267" t="inlineStr">
        <is>
          <t>Useful around mounting/mechanical holes.</t>
        </is>
      </c>
      <c r="G34" s="268" t="inlineStr">
        <is>
          <t>https://jlcpcb.com/capabilities/pcb-capabilities</t>
        </is>
      </c>
    </row>
    <row r="35" ht="45" customHeight="1" s="58">
      <c r="A35" s="265" t="inlineStr">
        <is>
          <t>Clearance</t>
        </is>
      </c>
      <c r="B35" s="265" t="inlineStr">
        <is>
          <t>Inner via hole to copper</t>
        </is>
      </c>
      <c r="C35" s="265" t="inlineStr">
        <is>
          <t>0.20 mm</t>
        </is>
      </c>
      <c r="D35" s="265" t="inlineStr">
        <is>
          <t>0.25 mm</t>
        </is>
      </c>
      <c r="E35" s="265" t="inlineStr">
        <is>
          <t>mm</t>
        </is>
      </c>
      <c r="F35" s="265" t="inlineStr">
        <is>
          <t>Applies to L2/L3 plane/polygon clearances around vias.</t>
        </is>
      </c>
      <c r="G35" s="266" t="inlineStr">
        <is>
          <t>https://jlcpcb.com/capabilities/pcb-capabilities</t>
        </is>
      </c>
    </row>
    <row r="36" ht="45" customHeight="1" s="58">
      <c r="A36" s="267" t="inlineStr">
        <is>
          <t>Clearance</t>
        </is>
      </c>
      <c r="B36" s="267" t="inlineStr">
        <is>
          <t>Inner PTH hole to copper</t>
        </is>
      </c>
      <c r="C36" s="267" t="inlineStr">
        <is>
          <t>0.30 mm</t>
        </is>
      </c>
      <c r="D36" s="267" t="inlineStr">
        <is>
          <t>0.35 mm</t>
        </is>
      </c>
      <c r="E36" s="267" t="inlineStr">
        <is>
          <t>mm</t>
        </is>
      </c>
      <c r="F36" s="267" t="inlineStr">
        <is>
          <t>Applies to internal copper around plated through holes.</t>
        </is>
      </c>
      <c r="G36" s="268" t="inlineStr">
        <is>
          <t>https://jlcpcb.com/capabilities/pcb-capabilities</t>
        </is>
      </c>
    </row>
    <row r="37" ht="45" customHeight="1" s="58">
      <c r="A37" s="265" t="inlineStr">
        <is>
          <t>Board edge</t>
        </is>
      </c>
      <c r="B37" s="265" t="inlineStr">
        <is>
          <t>Copper to routed board edge</t>
        </is>
      </c>
      <c r="C37" s="265" t="inlineStr">
        <is>
          <t>&gt;=0.20 mm</t>
        </is>
      </c>
      <c r="D37" s="265" t="inlineStr">
        <is>
          <t>0.30 mm general; 0.50 mm high-current pours</t>
        </is>
      </c>
      <c r="E37" s="265" t="inlineStr">
        <is>
          <t>mm</t>
        </is>
      </c>
      <c r="F37" s="265" t="inlineStr">
        <is>
          <t>Extra margin at high-current copper reduces exposure/edge damage risk.</t>
        </is>
      </c>
      <c r="G37" s="266" t="inlineStr">
        <is>
          <t>https://jlcpcb.com/capabilities/pcb-capabilities</t>
        </is>
      </c>
    </row>
    <row r="38" ht="45" customHeight="1" s="58">
      <c r="A38" s="267" t="inlineStr">
        <is>
          <t>Drilling</t>
        </is>
      </c>
      <c r="B38" s="267" t="inlineStr">
        <is>
          <t>Minimum NPTH diameter</t>
        </is>
      </c>
      <c r="C38" s="267" t="inlineStr">
        <is>
          <t>0.50 mm</t>
        </is>
      </c>
      <c r="D38" s="267" t="inlineStr">
        <is>
          <t>Use footprint requirement; &gt;=0.50 mm</t>
        </is>
      </c>
      <c r="E38" s="267" t="inlineStr">
        <is>
          <t>mm</t>
        </is>
      </c>
      <c r="F38" s="267" t="inlineStr">
        <is>
          <t>Mounting holes are usually much larger.</t>
        </is>
      </c>
      <c r="G38" s="268" t="inlineStr">
        <is>
          <t>https://jlcpcb.com/capabilities/pcb-capabilities</t>
        </is>
      </c>
    </row>
    <row r="39" ht="45" customHeight="1" s="58">
      <c r="A39" s="265" t="inlineStr">
        <is>
          <t>Slots</t>
        </is>
      </c>
      <c r="B39" s="265" t="inlineStr">
        <is>
          <t>Minimum plated slot width, multilayer</t>
        </is>
      </c>
      <c r="C39" s="265" t="inlineStr">
        <is>
          <t>0.35 mm</t>
        </is>
      </c>
      <c r="D39" s="265" t="inlineStr">
        <is>
          <t>&gt;=0.50 mm unless a footprint requires smaller</t>
        </is>
      </c>
      <c r="E39" s="265" t="inlineStr">
        <is>
          <t>mm</t>
        </is>
      </c>
      <c r="F39" s="265" t="inlineStr">
        <is>
          <t>Check connector mechanical drawings.</t>
        </is>
      </c>
      <c r="G39" s="266" t="inlineStr">
        <is>
          <t>https://jlcpcb.com/capabilities/pcb-capabilities</t>
        </is>
      </c>
    </row>
    <row r="40" ht="45" customHeight="1" s="58">
      <c r="A40" s="267" t="inlineStr">
        <is>
          <t>Slots</t>
        </is>
      </c>
      <c r="B40" s="267" t="inlineStr">
        <is>
          <t>Minimum non-plated slot width</t>
        </is>
      </c>
      <c r="C40" s="267" t="inlineStr">
        <is>
          <t>1.0 mm</t>
        </is>
      </c>
      <c r="D40" s="267" t="inlineStr">
        <is>
          <t>&gt;=1.0 mm</t>
        </is>
      </c>
      <c r="E40" s="267" t="inlineStr">
        <is>
          <t>mm</t>
        </is>
      </c>
      <c r="F40" s="267" t="inlineStr">
        <is>
          <t>Draw NPTH slots on mechanical/keepout layer as JLC specifies.</t>
        </is>
      </c>
      <c r="G40" s="268" t="inlineStr">
        <is>
          <t>https://jlcpcb.com/capabilities/pcb-capabilities</t>
        </is>
      </c>
    </row>
    <row r="41" ht="45" customHeight="1" s="58">
      <c r="A41" s="265" t="inlineStr">
        <is>
          <t>Solder mask</t>
        </is>
      </c>
      <c r="B41" s="265" t="inlineStr">
        <is>
          <t>Soldermask expansion</t>
        </is>
      </c>
      <c r="C41" s="265" t="inlineStr">
        <is>
          <t>1:1 pad-to-mask opening supported</t>
        </is>
      </c>
      <c r="D41" s="265" t="inlineStr">
        <is>
          <t>0.00 mm default; footprint override if needed</t>
        </is>
      </c>
      <c r="E41" s="265" t="inlineStr">
        <is>
          <t>mm</t>
        </is>
      </c>
      <c r="F41" s="265" t="inlineStr">
        <is>
          <t>LDI process supports 1:1. Helps preserve mask between 0.5 mm-pitch leads.</t>
        </is>
      </c>
      <c r="G41" s="266" t="inlineStr">
        <is>
          <t>https://jlcpcb.com/capabilities/pcb-capabilities</t>
        </is>
      </c>
    </row>
    <row r="42" ht="45" customHeight="1" s="58">
      <c r="A42" s="267" t="inlineStr">
        <is>
          <t>Solder mask</t>
        </is>
      </c>
      <c r="B42" s="267" t="inlineStr">
        <is>
          <t>Minimum soldermask bridge / pad spacing at 2 oz</t>
        </is>
      </c>
      <c r="C42" s="267" t="inlineStr">
        <is>
          <t>0.20 mm any color</t>
        </is>
      </c>
      <c r="D42" s="267" t="inlineStr">
        <is>
          <t>Check fine-pitch footprints; target &gt;=0.20 mm pad gap</t>
        </is>
      </c>
      <c r="E42" s="267" t="inlineStr">
        <is>
          <t>mm</t>
        </is>
      </c>
      <c r="F42" s="267" t="inlineStr">
        <is>
          <t>If pad spacing is smaller, a soldermask dam may not remain.</t>
        </is>
      </c>
      <c r="G42" s="268" t="inlineStr">
        <is>
          <t>https://jlcpcb.com/capabilities/pcb-capabilities</t>
        </is>
      </c>
    </row>
    <row r="43" ht="45" customHeight="1" s="58">
      <c r="A43" s="265" t="inlineStr">
        <is>
          <t>Silkscreen</t>
        </is>
      </c>
      <c r="B43" s="265" t="inlineStr">
        <is>
          <t>Minimum line width</t>
        </is>
      </c>
      <c r="C43" s="265" t="inlineStr">
        <is>
          <t>0.15 mm</t>
        </is>
      </c>
      <c r="D43" s="265" t="inlineStr">
        <is>
          <t>&gt;=0.15 mm; 0.18-0.20 mm preferred</t>
        </is>
      </c>
      <c r="E43" s="265" t="inlineStr">
        <is>
          <t>mm</t>
        </is>
      </c>
      <c r="F43" s="265" t="inlineStr">
        <is>
          <t>Improves readability after fabrication.</t>
        </is>
      </c>
      <c r="G43" s="266" t="inlineStr">
        <is>
          <t>https://jlcpcb.com/capabilities/pcb-capabilities</t>
        </is>
      </c>
    </row>
    <row r="44" ht="45" customHeight="1" s="58">
      <c r="A44" s="267" t="inlineStr">
        <is>
          <t>Silkscreen</t>
        </is>
      </c>
      <c r="B44" s="267" t="inlineStr">
        <is>
          <t>Minimum text height</t>
        </is>
      </c>
      <c r="C44" s="267" t="inlineStr">
        <is>
          <t>1.0 mm (40 mil)</t>
        </is>
      </c>
      <c r="D44" s="267" t="inlineStr">
        <is>
          <t>&gt;=1.0 mm; 1.2 mm preferred</t>
        </is>
      </c>
      <c r="E44" s="267" t="inlineStr">
        <is>
          <t>mm</t>
        </is>
      </c>
      <c r="F44" s="267" t="inlineStr">
        <is>
          <t>Smaller characters may be illegible.</t>
        </is>
      </c>
      <c r="G44" s="268" t="inlineStr">
        <is>
          <t>https://jlcpcb.com/capabilities/pcb-capabilities</t>
        </is>
      </c>
    </row>
    <row r="45" ht="45" customHeight="1" s="58">
      <c r="A45" s="265" t="inlineStr">
        <is>
          <t>Silkscreen</t>
        </is>
      </c>
      <c r="B45" s="265" t="inlineStr">
        <is>
          <t>Pad to silkscreen</t>
        </is>
      </c>
      <c r="C45" s="265" t="inlineStr">
        <is>
          <t>0.15 mm</t>
        </is>
      </c>
      <c r="D45" s="265" t="inlineStr">
        <is>
          <t>0.20 mm</t>
        </is>
      </c>
      <c r="E45" s="265" t="inlineStr">
        <is>
          <t>mm</t>
        </is>
      </c>
      <c r="F45" s="265" t="inlineStr">
        <is>
          <t>Keeps reference text/lines off pads.</t>
        </is>
      </c>
      <c r="G45" s="266" t="inlineStr">
        <is>
          <t>https://jlcpcb.com/capabilities/pcb-capabilities</t>
        </is>
      </c>
    </row>
    <row r="46" ht="45" customHeight="1" s="58">
      <c r="A46" s="267" t="inlineStr">
        <is>
          <t>Via technology</t>
        </is>
      </c>
      <c r="B46" s="267" t="inlineStr">
        <is>
          <t>Blind / buried vias</t>
        </is>
      </c>
      <c r="C46" s="267" t="inlineStr">
        <is>
          <t>Not supported in standard capability</t>
        </is>
      </c>
      <c r="D46" s="267" t="inlineStr">
        <is>
          <t>Do not use</t>
        </is>
      </c>
      <c r="E46" s="267" t="inlineStr">
        <is>
          <t>-</t>
        </is>
      </c>
      <c r="F46" s="267" t="inlineStr">
        <is>
          <t>Use through vias only.</t>
        </is>
      </c>
      <c r="G46" s="268" t="inlineStr">
        <is>
          <t>https://jlcpcb.com/capabilities/pcb-capabilities</t>
        </is>
      </c>
    </row>
    <row r="47">
      <c r="A47" s="115" t="n"/>
      <c r="B47" s="115" t="n"/>
      <c r="C47" s="115" t="n"/>
      <c r="D47" s="115" t="n"/>
      <c r="E47" s="115" t="n"/>
      <c r="F47" s="115" t="n"/>
      <c r="G47" s="115" t="n"/>
    </row>
    <row r="48" s="58">
      <c r="A48" s="271" t="inlineStr">
        <is>
          <t>Advanced Altium Rules</t>
        </is>
      </c>
      <c r="B48" s="227" t="n"/>
      <c r="C48" s="227" t="n"/>
      <c r="D48" s="227" t="n"/>
      <c r="E48" s="227" t="n"/>
      <c r="F48" s="227" t="n"/>
      <c r="G48" s="227" t="n"/>
    </row>
    <row r="49" ht="30" customHeight="1" s="58">
      <c r="A49" s="273" t="inlineStr">
        <is>
          <t>Category</t>
        </is>
      </c>
      <c r="B49" s="273" t="inlineStr">
        <is>
          <t>Rule Name</t>
        </is>
      </c>
      <c r="C49" s="273" t="inlineStr">
        <is>
          <t>Scope / Query</t>
        </is>
      </c>
      <c r="D49" s="273" t="inlineStr">
        <is>
          <t>Minimum</t>
        </is>
      </c>
      <c r="E49" s="273" t="inlineStr">
        <is>
          <t>Preferred / Setting</t>
        </is>
      </c>
      <c r="F49" s="273" t="inlineStr">
        <is>
          <t>Maximum</t>
        </is>
      </c>
      <c r="G49" s="273" t="inlineStr">
        <is>
          <t>Reason / Notes</t>
        </is>
      </c>
    </row>
    <row r="50" ht="45" customHeight="1" s="58">
      <c r="A50" s="274" t="inlineStr">
        <is>
          <t>Width</t>
        </is>
      </c>
      <c r="B50" s="274" t="inlineStr">
        <is>
          <t>Width_12V</t>
        </is>
      </c>
      <c r="C50" s="274" t="inlineStr">
        <is>
          <t>InNet('12V')</t>
        </is>
      </c>
      <c r="D50" s="274" t="inlineStr">
        <is>
          <t>1.0 mm</t>
        </is>
      </c>
      <c r="E50" s="274" t="inlineStr">
        <is>
          <t>2.0 mm</t>
        </is>
      </c>
      <c r="F50" s="274" t="inlineStr">
        <is>
          <t>15 mm</t>
        </is>
      </c>
      <c r="G50" s="275" t="inlineStr">
        <is>
          <t>Interactive-routing guardrail only. Main 12 V trunk should be a 12-15 mm equivalent outer-layer polygon/pour; branch widths are set manually by load.</t>
        </is>
      </c>
    </row>
    <row r="51" ht="45" customHeight="1" s="58">
      <c r="A51" s="274" t="inlineStr">
        <is>
          <t>Width</t>
        </is>
      </c>
      <c r="B51" s="274" t="inlineStr">
        <is>
          <t>Width_6V</t>
        </is>
      </c>
      <c r="C51" s="274" t="inlineStr">
        <is>
          <t>InNet('6V')</t>
        </is>
      </c>
      <c r="D51" s="274" t="inlineStr">
        <is>
          <t>2.0 mm</t>
        </is>
      </c>
      <c r="E51" s="274" t="inlineStr">
        <is>
          <t>6.0 mm</t>
        </is>
      </c>
      <c r="F51" s="274" t="inlineStr">
        <is>
          <t>10 mm</t>
        </is>
      </c>
      <c r="G51" s="275" t="inlineStr">
        <is>
          <t>Six-servo rail can approach 12.6 A; use a broad outer-layer pour. 6 mm is a practical starting width on 2 oz copper.</t>
        </is>
      </c>
    </row>
    <row r="52" ht="45" customHeight="1" s="58">
      <c r="A52" s="274" t="inlineStr">
        <is>
          <t>Width</t>
        </is>
      </c>
      <c r="B52" s="274" t="inlineStr">
        <is>
          <t>Width_5V</t>
        </is>
      </c>
      <c r="C52" s="274" t="inlineStr">
        <is>
          <t>InNet('5V')</t>
        </is>
      </c>
      <c r="D52" s="274" t="inlineStr">
        <is>
          <t>0.75 mm</t>
        </is>
      </c>
      <c r="E52" s="274" t="inlineStr">
        <is>
          <t>1.5 mm</t>
        </is>
      </c>
      <c r="F52" s="274" t="inlineStr">
        <is>
          <t>3.0 mm</t>
        </is>
      </c>
      <c r="G52" s="275" t="inlineStr">
        <is>
          <t>LMR51450 rail can supply up to 5 A. Keep high-current 5 V portions short and preferably on 2 oz outer copper.</t>
        </is>
      </c>
    </row>
    <row r="53" ht="45" customHeight="1" s="58">
      <c r="A53" s="274" t="inlineStr">
        <is>
          <t>Width</t>
        </is>
      </c>
      <c r="B53" s="274" t="inlineStr">
        <is>
          <t>Width_3V3</t>
        </is>
      </c>
      <c r="C53" s="274" t="inlineStr">
        <is>
          <t>InNet('3V3')</t>
        </is>
      </c>
      <c r="D53" s="274" t="inlineStr">
        <is>
          <t>0.30 mm</t>
        </is>
      </c>
      <c r="E53" s="274" t="inlineStr">
        <is>
          <t>0.50 mm</t>
        </is>
      </c>
      <c r="F53" s="274" t="inlineStr">
        <is>
          <t>1.0 mm</t>
        </is>
      </c>
      <c r="G53" s="275" t="inlineStr">
        <is>
          <t>Logic rail current is comparatively low; 0.5 mm is robust and easy to route.</t>
        </is>
      </c>
    </row>
    <row r="54" ht="45" customHeight="1" s="58">
      <c r="A54" s="274" t="inlineStr">
        <is>
          <t>Routing Layers</t>
        </is>
      </c>
      <c r="B54" s="274" t="inlineStr">
        <is>
          <t>Route_All_No_L2</t>
        </is>
      </c>
      <c r="C54" s="274" t="inlineStr">
        <is>
          <t>All</t>
        </is>
      </c>
      <c r="D54" s="274" t="inlineStr">
        <is>
          <t>-</t>
        </is>
      </c>
      <c r="E54" s="274" t="inlineStr">
        <is>
          <t>Allow Top, L3 Power/Signal, Bottom; disallow L2 GND</t>
        </is>
      </c>
      <c r="F54" s="274" t="inlineStr">
        <is>
          <t>-</t>
        </is>
      </c>
      <c r="G54" s="275" t="inlineStr">
        <is>
          <t>Preserves L2 as an uninterrupted ground reference.</t>
        </is>
      </c>
    </row>
    <row r="55" ht="45" customHeight="1" s="58">
      <c r="A55" s="274" t="inlineStr">
        <is>
          <t>Routing Layers</t>
        </is>
      </c>
      <c r="B55" s="274" t="inlineStr">
        <is>
          <t>Route_12V_6V_Outer</t>
        </is>
      </c>
      <c r="C55" s="274" t="inlineStr">
        <is>
          <t>InNet('12V') Or InNet('6V')</t>
        </is>
      </c>
      <c r="D55" s="274" t="inlineStr">
        <is>
          <t>-</t>
        </is>
      </c>
      <c r="E55" s="274" t="inlineStr">
        <is>
          <t>Allow Top and Bottom only</t>
        </is>
      </c>
      <c r="F55" s="274" t="inlineStr">
        <is>
          <t>-</t>
        </is>
      </c>
      <c r="G55" s="275" t="inlineStr">
        <is>
          <t>Keeps the highest-current rails on 2 oz outer copper for lower resistance and better cooling.</t>
        </is>
      </c>
    </row>
    <row r="56" ht="45" customHeight="1" s="58">
      <c r="A56" s="274" t="inlineStr">
        <is>
          <t>Via Style</t>
        </is>
      </c>
      <c r="B56" s="274" t="inlineStr">
        <is>
          <t>Via_5V_3V3</t>
        </is>
      </c>
      <c r="C56" s="274" t="inlineStr">
        <is>
          <t>InNet('5V') Or InNet('3V3')</t>
        </is>
      </c>
      <c r="D56" s="274" t="inlineStr">
        <is>
          <t>0.70/0.35 mm</t>
        </is>
      </c>
      <c r="E56" s="274" t="inlineStr">
        <is>
          <t>0.80/0.40 mm dia/drill</t>
        </is>
      </c>
      <c r="F56" s="274" t="inlineStr">
        <is>
          <t>1.00/0.50 mm</t>
        </is>
      </c>
      <c r="G56" s="275" t="inlineStr">
        <is>
          <t>More copper and barrel area than a signal via; use multiple vias if significant current changes layers.</t>
        </is>
      </c>
    </row>
    <row r="57" ht="45" customHeight="1" s="58">
      <c r="A57" s="274" t="inlineStr">
        <is>
          <t>Via Style</t>
        </is>
      </c>
      <c r="B57" s="274" t="inlineStr">
        <is>
          <t>Via_12V_6V</t>
        </is>
      </c>
      <c r="C57" s="274" t="inlineStr">
        <is>
          <t>InNet('12V') Or InNet('6V')</t>
        </is>
      </c>
      <c r="D57" s="274" t="inlineStr">
        <is>
          <t>0.80/0.40 mm</t>
        </is>
      </c>
      <c r="E57" s="274" t="inlineStr">
        <is>
          <t>1.00/0.50 mm dia/drill</t>
        </is>
      </c>
      <c r="F57" s="274" t="inlineStr">
        <is>
          <t>1.20/0.60 mm</t>
        </is>
      </c>
      <c r="G57" s="275" t="inlineStr">
        <is>
          <t>Avoid layer changes on main high-current paths. If unavoidable, use via arrays rather than one via.</t>
        </is>
      </c>
    </row>
    <row r="58" ht="45" customHeight="1" s="58">
      <c r="A58" s="274" t="inlineStr">
        <is>
          <t>Board Edge</t>
        </is>
      </c>
      <c r="B58" s="274" t="inlineStr">
        <is>
          <t>Power_Edge_Clearance</t>
        </is>
      </c>
      <c r="C58" s="274" t="inlineStr">
        <is>
          <t>InNet('12V') Or InNet('6V')</t>
        </is>
      </c>
      <c r="D58" s="274" t="inlineStr">
        <is>
          <t>0.50 mm</t>
        </is>
      </c>
      <c r="E58" s="274" t="inlineStr">
        <is>
          <t>0.50 mm</t>
        </is>
      </c>
      <c r="F58" s="274" t="inlineStr">
        <is>
          <t>-</t>
        </is>
      </c>
      <c r="G58" s="275" t="inlineStr">
        <is>
          <t>Extra margin for exposed/high-current copper near routed board edges.</t>
        </is>
      </c>
    </row>
    <row r="59" ht="45" customHeight="1" s="58">
      <c r="A59" s="274" t="inlineStr">
        <is>
          <t>Hole-Hole</t>
        </is>
      </c>
      <c r="B59" s="274" t="inlineStr">
        <is>
          <t>ViaVia_Hole_Clearance</t>
        </is>
      </c>
      <c r="C59" s="274" t="inlineStr">
        <is>
          <t>IsVia / IsVia</t>
        </is>
      </c>
      <c r="D59" s="274" t="inlineStr">
        <is>
          <t>0.25 mm</t>
        </is>
      </c>
      <c r="E59" s="274" t="inlineStr">
        <is>
          <t>0.25 mm</t>
        </is>
      </c>
      <c r="F59" s="274" t="inlineStr">
        <is>
          <t>-</t>
        </is>
      </c>
      <c r="G59" s="275" t="inlineStr">
        <is>
          <t>Above JLCPCB 0.20 mm via-hole-to-via-hole minimum.</t>
        </is>
      </c>
    </row>
    <row r="60" ht="45" customHeight="1" s="58">
      <c r="A60" s="274" t="inlineStr">
        <is>
          <t>Hole-Hole</t>
        </is>
      </c>
      <c r="B60" s="274" t="inlineStr">
        <is>
          <t>General_Hole_Clearance</t>
        </is>
      </c>
      <c r="C60" s="274" t="inlineStr">
        <is>
          <t>All / All</t>
        </is>
      </c>
      <c r="D60" s="274" t="inlineStr">
        <is>
          <t>0.45 mm</t>
        </is>
      </c>
      <c r="E60" s="274" t="inlineStr">
        <is>
          <t>0.45 mm</t>
        </is>
      </c>
      <c r="F60" s="274" t="inlineStr">
        <is>
          <t>-</t>
        </is>
      </c>
      <c r="G60" s="275" t="inlineStr">
        <is>
          <t>Matches JLCPCB pad-hole-to-pad-hole requirement; keep below ViaVia rule priority.</t>
        </is>
      </c>
    </row>
    <row r="61" ht="45" customHeight="1" s="58">
      <c r="A61" s="274" t="inlineStr">
        <is>
          <t>Polygon Connect</t>
        </is>
      </c>
      <c r="B61" s="274" t="inlineStr">
        <is>
          <t>Polygon_Default</t>
        </is>
      </c>
      <c r="C61" s="274" t="inlineStr">
        <is>
          <t>All pads/vias</t>
        </is>
      </c>
      <c r="D61" s="274" t="inlineStr">
        <is>
          <t>-</t>
        </is>
      </c>
      <c r="E61" s="274" t="inlineStr">
        <is>
          <t>Advanced: PTH relief 4 spokes, 0.30 mm spoke, 0.20 mm air gap; SMD direct; vias direct</t>
        </is>
      </c>
      <c r="F61" s="274" t="inlineStr">
        <is>
          <t>-</t>
        </is>
      </c>
      <c r="G61" s="275" t="inlineStr">
        <is>
          <t>Balances solderability for normal PTH parts with low impedance for SMD decoupling and stitching vias.</t>
        </is>
      </c>
    </row>
    <row r="62" ht="45" customHeight="1" s="58">
      <c r="A62" s="274" t="inlineStr">
        <is>
          <t>Polygon Connect</t>
        </is>
      </c>
      <c r="B62" s="274" t="inlineStr">
        <is>
          <t>Polygon_HighCurrent</t>
        </is>
      </c>
      <c r="C62" s="274" t="inlineStr">
        <is>
          <t>InNet('12V') Or InNet('6V')</t>
        </is>
      </c>
      <c r="D62" s="274" t="inlineStr">
        <is>
          <t>-</t>
        </is>
      </c>
      <c r="E62" s="274" t="inlineStr">
        <is>
          <t>Direct connect for PTH pads, SMD pads, and vias</t>
        </is>
      </c>
      <c r="F62" s="274" t="inlineStr">
        <is>
          <t>-</t>
        </is>
      </c>
      <c r="G62" s="275" t="inlineStr">
        <is>
          <t>Avoids thermal-relief bottlenecks in high-current power paths. Use a sufficiently powerful iron/preheat for PTH assembly.</t>
        </is>
      </c>
    </row>
    <row r="63" ht="45" customHeight="1" s="58">
      <c r="A63" s="274" t="inlineStr">
        <is>
          <t>Manual Pad Override</t>
        </is>
      </c>
      <c r="B63" s="274" t="inlineStr">
        <is>
          <t>High-current GND pads</t>
        </is>
      </c>
      <c r="C63" s="274" t="inlineStr">
        <is>
          <t>Specific connector/module GND pads</t>
        </is>
      </c>
      <c r="D63" s="274" t="inlineStr">
        <is>
          <t>-</t>
        </is>
      </c>
      <c r="E63" s="274" t="inlineStr">
        <is>
          <t>Direct connect to GND polygon</t>
        </is>
      </c>
      <c r="F63" s="274" t="inlineStr">
        <is>
          <t>-</t>
        </is>
      </c>
      <c r="G63" s="275" t="inlineStr">
        <is>
          <t>Do not make every GND pad direct-connect; override only high-current GND pads so normal PTH grounds remain solderable.</t>
        </is>
      </c>
    </row>
    <row r="64" ht="45" customHeight="1" s="58">
      <c r="A64" s="274" t="inlineStr">
        <is>
          <t>Routing Corners</t>
        </is>
      </c>
      <c r="B64" s="274" t="inlineStr">
        <is>
          <t>General_Routing_Corners</t>
        </is>
      </c>
      <c r="C64" s="274" t="inlineStr">
        <is>
          <t>All</t>
        </is>
      </c>
      <c r="D64" s="274" t="inlineStr">
        <is>
          <t>-</t>
        </is>
      </c>
      <c r="E64" s="274" t="inlineStr">
        <is>
          <t>45 degree corners</t>
        </is>
      </c>
      <c r="F64" s="274" t="inlineStr">
        <is>
          <t>-</t>
        </is>
      </c>
      <c r="G64" s="275" t="inlineStr">
        <is>
          <t>Cleaner routing and avoids unnecessary sharp corners; not an impedance requirement for this design.</t>
        </is>
      </c>
    </row>
    <row r="65" ht="45" customHeight="1" s="58">
      <c r="A65" s="274" t="inlineStr">
        <is>
          <t>Sources</t>
        </is>
      </c>
      <c r="B65" s="274" t="inlineStr">
        <is>
          <t>JLCPCB limits: https://jlcpcb.com/capabilities/pcb-capabilities | Altium rules: https://www.altium.com/documentation/altium-designer/pcb/defining-scoping-managing-design-rules</t>
        </is>
      </c>
      <c r="C65" s="274" t="n"/>
      <c r="D65" s="274" t="n"/>
      <c r="E65" s="274" t="n"/>
      <c r="F65" s="274" t="n"/>
      <c r="G65" s="275" t="n"/>
    </row>
    <row r="66">
      <c r="A66" s="276" t="inlineStr">
        <is>
          <t>IMPORTANT: JLCPCB fabrication minimums are not current-carrying design widths. Use large copper pours for the main 12 V path and 6 V servo rail, keep L2 as a continuous GND plane, and use multiple power/ground vias whenever high-current copper changes layers.</t>
        </is>
      </c>
      <c r="B66" s="225" t="n"/>
      <c r="C66" s="225" t="n"/>
      <c r="D66" s="225" t="n"/>
      <c r="E66" s="225" t="n"/>
      <c r="F66" s="225" t="n"/>
      <c r="G66" s="225" t="n"/>
    </row>
  </sheetData>
  <mergeCells count="4">
    <mergeCell ref="A48:G48"/>
    <mergeCell ref="A3:G3"/>
    <mergeCell ref="A14:G14"/>
    <mergeCell ref="A1:G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2026-09-22T00:12:54Z</dcterms:created>
  <dcterms:modified xmlns:dcterms="http://purl.org/dc/terms/" xmlns:xsi="http://www.w3.org/2001/XMLSchema-instance" xsi:type="dcterms:W3CDTF">2026-09-26T03:49:38Z</dcterms:modified>
</cp:coreProperties>
</file>